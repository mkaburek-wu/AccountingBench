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Projekte/Benchmarking/results/Studenten/"/>
    </mc:Choice>
  </mc:AlternateContent>
  <xr:revisionPtr revIDLastSave="161" documentId="8_{A53E4AC9-29F2-434A-8D44-77FA7F354A34}" xr6:coauthVersionLast="47" xr6:coauthVersionMax="47" xr10:uidLastSave="{8948F1E2-5CA9-48D5-BD45-BE76202CAB42}"/>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Questions!$A$1:$X$51</definedName>
    <definedName name="CIQWBGuid" hidden="1">"a2fb1cae-b5f6-4196-9251-864df8f036e3"</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tc={DC1A590A-B457-4234-B85D-E395C36A37FF}</author>
    <author>tc={18F858D0-24A4-4E08-9E35-B41C4375EC6B}</author>
    <author>tc={F8F7B86C-7FB4-4646-9E56-BA82ECB528AE}</author>
    <author>tc={F032D972-4C8D-45B9-A1BD-02DAC3B3D610}</author>
    <author>tc={A96DB10B-C3AE-4C36-9332-47024FAA7B8C}</author>
    <author>tc={A48D548B-7402-43A4-8865-ACFC17EDDF01}</author>
    <author>tc={4FA52019-4B24-4D12-93A7-3FB6395BA8CC}</author>
    <author>tc={5330688F-862C-473E-87F0-F8AA0A610A0E}</author>
    <author>tc={C8D228AC-15F6-49AC-A2F5-9C4922DF151E}</author>
    <author>tc={DA021695-6B85-4ABD-A726-94B05DC564E0}</author>
    <author>tc={8E2A6AD6-AE7B-4212-9920-6FEA0878CBB4}</author>
    <author>tc={44D246E1-6BA6-4C1D-A861-81255853E43A}</author>
    <author>tc={AFA4A47E-2A73-4BD3-8399-F60B00CF20ED}</author>
    <author>tc={A34A7E9A-EA0B-4E4D-ACBB-0DADE654DD76}</author>
    <author>tc={014F765B-3815-4EFF-AA35-6E9C3FF614F0}</author>
  </authors>
  <commentList>
    <comment ref="A1" authorId="0" shapeId="0" xr:uid="{DC1A590A-B457-4234-B85D-E395C36A37FF}">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18F858D0-24A4-4E08-9E35-B41C4375EC6B}">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F8F7B86C-7FB4-4646-9E56-BA82ECB528AE}">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F032D972-4C8D-45B9-A1BD-02DAC3B3D610}">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A96DB10B-C3AE-4C36-9332-47024FAA7B8C}">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A48D548B-7402-43A4-8865-ACFC17EDDF01}">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4FA52019-4B24-4D12-93A7-3FB6395BA8CC}">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5330688F-862C-473E-87F0-F8AA0A610A0E}">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C8D228AC-15F6-49AC-A2F5-9C4922DF151E}">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DA021695-6B85-4ABD-A726-94B05DC564E0}">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8E2A6AD6-AE7B-4212-9920-6FEA0878CBB4}">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44D246E1-6BA6-4C1D-A861-81255853E43A}">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AFA4A47E-2A73-4BD3-8399-F60B00CF20ED}">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A34A7E9A-EA0B-4E4D-ACBB-0DADE654DD76}">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014F765B-3815-4EFF-AA35-6E9C3FF614F0}">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<sst xmlns="http://schemas.openxmlformats.org/spreadsheetml/2006/main" count="901" uniqueCount="317">
  <si>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</si>
  <si>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</si>
  <si>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</si>
  <si>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</si>
  <si>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</si>
  <si>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</si>
  <si>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</si>
  <si>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</si>
  <si>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</si>
  <si>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</si>
  <si>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</si>
  <si>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</si>
  <si>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</si>
  <si>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</si>
  <si>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</si>
  <si>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</si>
  <si>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</si>
  <si>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</si>
  <si>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</si>
  <si>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</si>
  <si>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</si>
  <si>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</si>
  <si>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</si>
  <si>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</si>
  <si>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</si>
  <si>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</si>
  <si>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</si>
  <si>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</si>
  <si>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</si>
  <si>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</si>
  <si>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</si>
  <si>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</si>
  <si>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</si>
  <si>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</si>
  <si>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</si>
  <si>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</si>
  <si>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</si>
  <si>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</si>
  <si>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</si>
  <si>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</si>
  <si>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</si>
  <si>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</si>
  <si>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</si>
  <si>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</si>
  <si>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</si>
  <si>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</si>
  <si>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</si>
  <si>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</si>
  <si>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</si>
  <si>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</si>
  <si>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</si>
  <si>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</si>
  <si>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</si>
  <si>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</si>
  <si>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</si>
  <si>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</si>
  <si>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</si>
  <si>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</si>
  <si>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</si>
  <si>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</si>
  <si>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</si>
  <si>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</si>
  <si>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</si>
  <si>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</si>
  <si>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</si>
  <si>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</si>
  <si>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</si>
  <si>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</si>
  <si>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</si>
  <si>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</si>
  <si>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</si>
  <si>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</si>
  <si>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</si>
  <si>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</si>
  <si>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</si>
  <si>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</si>
  <si>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</si>
  <si>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</si>
  <si>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</si>
  <si>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</si>
  <si>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</si>
  <si>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</si>
  <si>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</si>
  <si>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</si>
  <si>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A</t>
  </si>
  <si>
    <t>Manuel Kaburek</t>
  </si>
  <si>
    <t>Exact set match required (A). Order irrelevant. Case-insensitive. No additional choices allowed.</t>
  </si>
  <si>
    <t>Answer must contain: (1) Verbuchung der Rechnung, (2) Verbuchung der Überweisung</t>
  </si>
  <si>
    <t>+/- 0</t>
  </si>
  <si>
    <t>Welche Kosten müssen für die Berechnung des Anschaffungswertes einer Maschine berücksichtigt werden?</t>
  </si>
  <si>
    <t>A) Kaufpreis der Maschine | B) Kosten der Kreditbeschaffung | C) Transportkosten | D) Kosten für die Aufstellung und Inbetriebnahme | E) Vorsteuer | F) Skonto</t>
  </si>
  <si>
    <t>A, C, D, F</t>
  </si>
  <si>
    <t>Exact set match required (A, C, D and F). Order irrelevant. Case-insensitive. No additional choices allowed.</t>
  </si>
  <si>
    <t>UGB knowledge, accounting knowledge, conceptual understanding</t>
  </si>
  <si>
    <t>UGB knowledge, accounting knowledge, asset valuation, conceptual understanding</t>
  </si>
  <si>
    <t>Haberl, Klaus-Peter; Veidl, Gerhard; Bauer, Helmut; Lechner, Rudolf (2016): Unternehmensrechnung: Kostenrechnung – Bilanzierung HAK III, Wien, MANZ Verlag Schulbuch GmbH.</t>
  </si>
  <si>
    <t>Die Großbäckerei Ströck GmbH in Wien kauft einen Backofen von der Maschinenbau AG Linz.
23.01.: Der Backofen wird geliefert, aufgestellt und sofort in Betrieb genommen. Die Rechnung lautet auf 79.500,00 + 15.900,00 USt = 95.400,00.
24.01.: Für die Aufstellung werden 2.090,00 + 418,00 USt = 2.508,00 bar bezahlt.
30.01.: Überweisung an die Maschinenbau AG Linz 95.400,00 - 1.908,00 Skonto (1.590,00 + 318,00 USt) = 93.492,00
Stellen Sie alle erforderlichen Buchungssätze im Zusammenhang mit dem Kauf inklusive Kontoklassen auf.</t>
  </si>
  <si>
    <t>**23.01.**
0 Maschinen .......... 79.500,00
2 Vorsteuer .......... 15.900,00
an 33120 Maschinenbau AG .......... 95.400,00
**24.01.**
0 Maschine .......... 2.090,00
2 Vorsteuer .......... 418,00
an 2 Kassa .......... 2.508,00
**30.01.**
3 Maschinenbau AG .......... 95.400,00
an 0 Maschinen .......... 1.590,00
an 2 Vorsteuer .......... 318,00
an 2 Bank .......... 93.492,00</t>
  </si>
  <si>
    <t>Answer must contain: (1) Verbuchung des Anlagenkaufs, (2) Verbuchung der Aufstellung, (3) Verbuchung der Bezahlung abzüglich Skonto</t>
  </si>
  <si>
    <t>Answer must contain: (1) Verbuchung des Anlagenkaufs, (2) Verbuchung der Abschreibung</t>
  </si>
  <si>
    <t>30.07.: Die Maschinen- und Anlagenbau GmbH nimmt eine selbst hergestellte Maschine in Betrieb. Die Herstellungskosten wurden mit 46.000,00 errechnet, Nutzungsdauer 8 Jahre. Stellen Sie alle erforderlichen Buchungssätze bezüglich der Aktivierung und der Abschreibung am Jahresende inklusive Kontoklassen auf.</t>
  </si>
  <si>
    <t>**30.07.**
0 Maschine .......... 46.000,00
an 4 Aktivierte Eigenleistungen 46.000,00
**31.12.**
7 Abschreibung .......... 2.875,00
an 0 Maschine .......... 2.875,00</t>
  </si>
  <si>
    <t>Die Textilfabrik Schramm GmbH errichtet in den Jahren 2016 und 2017 ein Betriebsgebäude. In 2016 wird der Rohbau fertiggestellt, wofür an den Baumeister Ing. Kurt Zeiler GmbH aufgrund von zwei Teilrechnung Teilzahlungen geleistet werden.
21.06.2016: Überweisung 70.000,00 + 14.000,00 USt = 84.000,00
18.10.2016: Überweisung 200.000,00 + 40.000,00 USt = 240.000,00
20.06.2017: Endabrechnung des Baumeisters über Gesamtkosten 620.000,00 - 270.000,00 Teilzahlungen = 350.000,00 netto + 70.000,00 USt = 420.000,00.
18.07.2017: Ausgleich des Restbetrags durch Banküberweisung
Stellen Sie alle erforderlichen Buchungssätze inklusive Kontoklassen auf.</t>
  </si>
  <si>
    <t>Bau eines Betriebsgebäudes mit Teilrechnungen: Verbuchung der Teilrechnungen als Anlagen im Bau und Aktivierung des Gebäudes nach Erhalt der Schlussrechnung.</t>
  </si>
  <si>
    <t>**21.06.2016**
0 Anlagen im Bau .......... 70.000,00
2 Vorsteuer .......... 14.000,00
an 2 Bank .......... 84.000,00
**18.10.2016**
0 Anlagen im Bau .......... 200.000,00
2 Vorsteuer .......... 40.000,00
an 2 Bank .......... 240.000,00
**20.06.2017**
0 Anlagen im Bau .......... 350.000,00
2 Vorsteuer .......... 70.000,00
an 3 Ing. Kurt Zeiler GmbH .......... 420.000,00
**20.06.2017**
0 Gebäude .......... 620.000,00
an 0 Anlagen im Bau .......... 620.000,00
**18.07.2017**
3 Ing. Kurt Zeiler GmbH ........... 420.000,00
an 2 Bank ................... 420.000,00</t>
  </si>
  <si>
    <t>Answer must contain: (1) Verbuchung der ersten Teilrechnung, (2) Verbuchung der zweiten Teilrechnung, (3) Verbuchung der Endabrechnung, (4) Aktivierung des Gebäudes, (5) Verbuchung der Überweisung</t>
  </si>
  <si>
    <t>16.03.: Kauf einer Verpackungsmaschine um 8.500,00 + 1.700,00 USt = 10.200,00 von der Lindner GmbH. Stellen Sie alle erforderlichen Buchungssätze inklusive Kontoklassen auf.</t>
  </si>
  <si>
    <t>**16.03.**
0 Maschine .......... 8.500,00
2 Vorsteuer .......... 1.700,00
an 3 Lindner GmbH .......... 10.200,00</t>
  </si>
  <si>
    <t>Answer must contain: (1) Verbuchung des Anlagenzuganges</t>
  </si>
  <si>
    <t>13.10.: Barkauf eines Ventilators für die Verwaltung um 399,00 (inkl. 20% USt). Geringwertige Wirtschaftsgüter sind auf dem Konto "7 Abschreibung geringwertiger Wirtschaftsgüter" zu erfassen. Stellen Sie alle erforderlichen Buchungssätze inklusive Kontoklassen auf.</t>
  </si>
  <si>
    <t>**13.10.**
7 Abschreibung geringwertige Wirtschaftsgüter .......... 332,50
2 Vorsteuer .......... 66,50
an 2 Kassa .......... 399,00</t>
  </si>
  <si>
    <t>Answer must contain: (1) Verbuchung als geringwertiges Wirtschaftsgut</t>
  </si>
  <si>
    <t>Am 04.10. wird ein im eigenen Betrieb hergestellter Baukran in Verwendung genommen. Herstellungskosten 61.400,00, Nutzungsdauer 10 Jahre. Stellen Sie alle erforderlichen Buchungen (einschließlich der vorzunehmenden Abschreibung per 31.12.) inklusive Kontoklassen auf.</t>
  </si>
  <si>
    <t>**04.10.**
0 Maschinen .......... 61.400,00
an 4 Aktivierte Eigenleistungen 61.400,00
**31.12.**
7 Abschreibung .......... 3.070,00
an 0 Maschinen .......... 3.070,00</t>
  </si>
  <si>
    <t>Answer must contain: (1) Verbuchung des Anlagenzuganges, (2) Verbuchung der Abschreibung</t>
  </si>
  <si>
    <t>UGB knowledge, accounting knowledge, calculation, conceptual understanding</t>
  </si>
  <si>
    <t>Während des Jahres wurden ein Wachseisen und ein Akkuschrauber für die Montage der Skibindungen im Gesamtwert von 730,00 (netto) auf dem Konto 0 Maschinen verbucht. Sie sind als geringwertige Wirtschaftsgüter im Abschlussjahr voll abzuschreiben. Stellen Sie alle erforderlichen Buchungen inklusive Kontoklassen auf.</t>
  </si>
  <si>
    <t>**31.12.**
7 Abschreibung geringwertiger Wirtschaftsgüter …...... 730,00
an 0 Maschinen …..... 730,00</t>
  </si>
  <si>
    <t>Answer must contain: (1) Verbuchung der Abschreibung geringwertiger Wirtschaftsgüter</t>
  </si>
  <si>
    <t>Überprüfen Sie die nachfolgende Buchung und stellen Sie diese gegebenenfalls richtig:
Überweisung über 30.000,00 + 6.000,00 USt = 36.000,00 für eine Teilzahlung an die Bauunternehmung Stefan Merkl GmbH. Das Gebäude wird im nächsten Jahr fertiggestellt.
Buchung:
0 Gebäude ............ 30.000,00
2 Vorsteuer ............. 6.000,00
an 2 Bank ................ 36.000,00</t>
  </si>
  <si>
    <t>Es wurde anstatt des Kontos "Anlagen im Bau" das Konto "Gebäude" verwendet.
Korrekte Buchung:
0 Anlagen im Bau …..... 30.000,00
2 Vorsteuer ….............. 6.000,00
an 2 Bank ….............. 36.000,00</t>
  </si>
  <si>
    <t>Answer must contain: (1) Korrektur der falschen Buchung</t>
  </si>
  <si>
    <t>Ergänzen Sie: Abschlagszahlungen für ein in Bau befindliches Gebäude werden auf dem Konto …............. erfasst.</t>
  </si>
  <si>
    <t>0 Anlagen im Bau</t>
  </si>
  <si>
    <t>Answer must contain: (1) Nennung des korrekten Kontos</t>
  </si>
  <si>
    <t>UGB knowledge, accounting knowledge, conceptual explanation</t>
  </si>
  <si>
    <t>Eine Lagerhalle wird am 5. September 2007 in Betrieb genommen; Nutzungsdauer 40 Jahre. Im Jahr 2017 wird die Lagerhalle um einen Zubau erweitert. Dieser ist auf die Restnutzungsdauer der Lagerhalle abzuschreiben. Die Inbetriebnahme des Zubaues erfolgt am 2. August 2017. Berechnen Sie die bisherige Nutzungsdauer und die Restnutzungsdauer des Zubaues und geben Sie die Berechnung an.</t>
  </si>
  <si>
    <t>Bisherige Nutzungsdauer der Lagerhalle: 0,5 Jahre [in 2007] + 9 Jahre [von 2008 bis 2016] + 0,5 Jahre [in 2017] = 10 Jahre
40 Jahre - 10 Jahre = 30 Jahre Restnutzungsdauer</t>
  </si>
  <si>
    <t>Answer must contain: (1) Berechnung der bisherigen Nutzungsdauer, (2) Berechnung der Restnutzungsdauer</t>
  </si>
  <si>
    <t>UGB knowledge, accounting knowledge, calculation, conceptual explanation</t>
  </si>
  <si>
    <t>Die Garten- und Landschaftsbau Lischka GmbH lässt vom Bauunternehmen Kurt Steindl OG im Jahr 2017 den Dachboden eines Betriebsgebäudes zu Büroräumen umbauen.
Daten des Betriebs- und Verwaltungsgebäudes: AW 1.054.00,00, Inbetriebnahme Juni 2001, Abschreibung 2,5% p.a., BW am 01.01.2017 632.400,00
29.11.: Abrechnung der Kurt Steindl OG über den Neubau des Dachbodens: 154.000,00 + 30.800,00 USt = 184.800,00, Nutzungsbeginn 17.11.
06.12.: Ausgleich der Rechnung durch Banküberweisung
Stellen Sie alle erforderlichen Buchungen (einschließlich der vorzunehmenden Abschreibung per 31.12.) inklusive Kontoklassen auf und geben Sie die Berechnung der Abschreibung an. Runden auf ganze Euro.</t>
  </si>
  <si>
    <t>**29.11.**
0 Gebäude .......... 154.000,00
2 Vorsteuer .......... 30.800,00
an 3 Kurt Steindl OG .......... 184.800,00
**06.12.**
3 Kurt Steindl OG .......... 184.800,00
an 2 Bank .......... 184.800,00
**Berechnung Abschreibung**
Abschreibung für ein ganzes Jahr: 1.054.000 * 2,5% = 26.350,00
Umbaukosten, verteilt auf die Restnutzungsdauer des Gebäudes für ein halbes Jahr: 154.000 : 23,5 : 2 = 3.277,00
Gesamtabschreibung: 26.350,00 + 3.277,00 = 29.627,00
**31.12.**
7 Abschreibung .......... 29.627,00
an 0 Gebäude .......... 29.627,00</t>
  </si>
  <si>
    <t>Answer must contain: (1) Verbuchung der Rechnung, (2) Verbuchung der Überweisung, (3) Berechnung der Abschreibung, (4) Verbuchung der Abschreibung</t>
  </si>
  <si>
    <t>Die Garten- und Landschaftsbau Lischka GmbH lässt vom Bauunternehmen Kurt Steindl OG im Jahr 2017 ein Betriebsgebäude renovieren.
28.08.: Abrechnung der Kurt Steindl OG über die Renovierungsarbeiten 94.800,00 + 18.960,00 USt = 113.760,00
06.09.: Ausgleich der Rechnung durch Banküberweisung
Stellen Sie alle erforderlichen Buchungen inklusive Kontoklassen auf.</t>
  </si>
  <si>
    <t>**28.08.**
7 Instandhaltung durch Dritte .......... 94.800,00
2 Vorsteuer .......... 18.960,00
an 3 Kurt Steindl OG .......... 113.760,00
**06.09.**
3 Kurt Steindl OG .......... 113.760,00
an 2 Bank .......... 113.760,00</t>
  </si>
  <si>
    <t>Answer must contain: (1) Verbuchung der Rechnung als Instandhaltung, (2) Verbuchung der Überweisung</t>
  </si>
  <si>
    <t>UGB knowledge, accounting knowledge, conceptual understanding, calculation</t>
  </si>
  <si>
    <t>Welche Geschäftsfälle werden auf dem Konto 0 Gebäude verbucht?</t>
  </si>
  <si>
    <t>A) Renovierung der Fassade | B) Erneuerung der Verkachelung in einem Waschraum | C) Neutapezieren von Zimmern | D) Ausbau eines Kellers zu einer Garage | E) Streichen der Fenster | F) Einbau eines Liftes | G) Erneuerung des Dachabdeckung und der Dachrinnen  | H) Umbau eines Abstellraumes zu einem Duschraum für die Dienstnehmer | I) Einbau einer Zentralheizung anstelle der Ofenheizung</t>
  </si>
  <si>
    <t>D, F, H , I</t>
  </si>
  <si>
    <t>Exact set match required (D, F, H and I). Order irrelevant. Case-insensitive. No additional choices allowed.</t>
  </si>
  <si>
    <t>UGB knowledge, accounting knowledge, conceptual understanding, asset valuation</t>
  </si>
  <si>
    <t>Ist diese Buchung ist für die Erfassung der Herstellungskosten richtig:
0 Betriebs- und Geschäftsausstattung
an 4 Aktivierte Eigenleistungen</t>
  </si>
  <si>
    <t>A) Richtig | B) Falsch</t>
  </si>
  <si>
    <t xml:space="preserve">Buchung:
7 Instandhaltung durch Dritte ….............. 18.780,00
2 Vorsteuer ….......... 3.756,00
an 2 Bank …........... 22.536,00
Mit dem genannten Buchungssatz wurde die Instandsetzung der Fenster des Bürogebäudes verbucht.
</t>
  </si>
  <si>
    <t>Im Februar 2017 wird in einer Geschäftsstraße ein reparaturbedürftiges Gebäude um € 1.050.000,– gekauft. Die Notariatskosten, Grunderwerbsteuer und Grundbuchsgebühr betragen € 52.500,–. Sofort nach dem Kauf wird mit den Renovierungsarbeiten begonnen. Die dabei anfallenden Kosten sind wegen der zeitlichen Nähe zur Anschaffung als Anschaffungskosten zu aktivieren. Im Laufe des Anschaffungsjahres werden folgende Arbeiten durchgeführt (alle Beträge ohne USt): Dachdeck- und Spenglerarbeiten € 16.260,–, Erneuerung der Fassade € 24.700,–, Erneuerung der Fenster € 32.640,–, Innenausbau (neue Türen, Fußböden etc.) € 87.900,–. Die Arbeiten werden Ende Oktober des Abschlussjahres fertiggestellt und die Verkaufsräume am 2. Nov. eröffnet; Abschreibung 2,5 % p. a.
a) Wie hoch ist der Anschaffungswert dieses Gebäudes?
b) Wie hoch ist die Abschreibung für dieses Gebäude für 2017?
Geben Sie bei der Beantwortung der Fragen den Rechenweg an.</t>
  </si>
  <si>
    <t>a) 
Kaufpreis ............ 1.050.000,00
+ Notariatskosten, Grunderwerbsteuer, Grundbuchsgebühr .... 52.500,00
+ Dachdeck- und Spenglerarbeiten ...... 16.260,00
+ Erneuerung der Fassade ........... 24.700,00
+ Erneuerung der Fenster .......... 32.640,00
+ Innenausbau ......... 87.900,00
=Anschaffungswert ......... 1.264.000,00
b) 1.264.000 * 2,5 % / 2 = 15.800,00</t>
  </si>
  <si>
    <t>Answer must contain: (1) Berechnung der Anschaffungskosten, (2) Berechnung der Abschreibung</t>
  </si>
  <si>
    <t>UGB knowledge, accounting knowledge, conceptual understanding, calculation, asset valuation</t>
  </si>
  <si>
    <t>Die Erlöse werden auf dem Konto 4 Erlöse aus dem Abgang von Anlagen verbucht, der Buchwertabgang auf dem Konto 7 Buchwert abgegangener Anlagen. Ein Gewinn oder Verlust wird durch Saldierungsbuchungen ausgewiesen.</t>
  </si>
  <si>
    <t>Durch einen von einem Mitarbeiter verschuldeten Unfall erleidet ein LKW einen Totalschaden. Das Wrack wird zum Autohändler abgeschleppt.
06.08.: Die Helvetia Versicherungen Österreich AG (2 sonstige Forderungen) anerkennt den Schaden in Höhe von 16.000,00 (Vollkaskoversicherung).
10.09: Überweisung durch die Versicherung von 16.000,00
16.09.: Abschluss eines Kaufvertrages über die Anschaffung eines neuen LKW, Kaufpreis 81.440,00 + 16.288,00 USt = 97.728,00; Liefertermin für den neuen LKW Jänner nächsten Jahres
31.12.: Daten laut Anlagenbuchhaltung: AW 76.800,00; BW am 01.01. 23.040,00; Nutzungsdauer fünf Jahre
Stellen Sie alle erforderlichen Buchungen inkl. Umbuchung der Versichungsentschädigung und des Schadens (Saldierungsbuchungen) inklusive Kontoklassen auf. Berechnen Sie den Schaden (Buchwert).</t>
  </si>
  <si>
    <t>Die Versicherungsentschädigung wird auf dem Konto 4 Versicherungsentschädigung verbucht, die Ausbuchung der Anlage auf dem Konto 7 sonstige Schadenfälle. Ein Gewinn oder Verlust wird durch Saldierungsbuchungen ausgewiesen.</t>
  </si>
  <si>
    <t>**06.08.**
2 sonstige Forderungen .......... 16.000,00
an 4 Versicherungsentschädigung .......... 16.000,00
**10.09.**
2 Bank .......... 16.000,00
an 2 sonstige Forderungen .......... 16.000,00
**Berechnung Buchwert**
Abschreibung: 76.800,00 / 5 / 2 = 7.680,00
Buchwert: 23.040,00 - 7.680,00 = 15.360,00
**31.12.**
7 Abschreibung .......... 7.680,00
an 0 LKW .......... 7.680,00
**31.12.**
7 sonstige Schadensfälle .......... 15.360,00
an 0 LKW .......... 15.360,00
**31.12.**
4 Versicherungsentschädigung .......... 16.000,00
an 4 Erträge aus dem Abgang von Anlagen .......... 16.000,00
**31.12.**
4 Erträge aus dem Abgang von Anlagen .......... 15.360,00
an 7 sonstige Schadensfälle .......... 15.360,00</t>
  </si>
  <si>
    <t>Answer must contain: (1) Verbuchung der Forderung, (2) Verbuchung der Überweisung, (3) Berechnung des Buchwertes, (4) Verbuchung der Abschreibung, (5) Ausbuchen des Buchwertes, (6) Saldierungsbuchungen</t>
  </si>
  <si>
    <t>15.05.: Barverkauf einer gebrauchten Computerkasse um 1.250,00 + 250,00 USt = 1.500,00
31.12.: Ausbuchung der Anlage: AW 3.000,00; BW am 01.01. 1.125,00; Nutzungsdauer 8 Jahre
Stellen Sie alle erforderlichen Buchungen für: Verbuchung des Verkaufserlöses, Ausbuchung der Anlage, Umbuchung des Erlöses und des Buchwertes (Saldierung) inklusive Kontoklassen auf. Geben Sie die Berechnung der Abschreibung, des Restbuchwertes und des Verkaufserlöses an.</t>
  </si>
  <si>
    <t>**15.05.**
2 Kassa .......... 1.500
an 4 Erlöse aus dem Abgang von Anlagen .......... 1.250,00
an 3 Umsatzsteuer …...... 250,00
**Berechnung der Abschreibung und Restbuchwert**
Abschreibung: 3.000 / 8 / 2 = 187,50
Restbuchwert: 1.125 - 187,50 = 937,50
**31.12.**
7 Abschreibung .......... 187,50
an 0 Geschäftsausstattung .......... 187,50
**31.12.**
7 Buchwert abgegangene Anlagen .......... 937,50
an 0 Geschäftsausstattung .......... 937,50
**Berechnung des Verkaufserlöses**
Berechnung Verkaufserlös: 1.250 - 937,50 = 312,50
**31.12.**
4 Erlöse aus dem Abgang von Anlagen .......... 1.250,00
an 4 Erträge aus dem Abgang von Anlagen .......... 1.250,00
**31.12.**
4 Erträge aus dem Abgang von Anlagen .......... 937,50
an 7 Buchwert abgegangene Anlagen .......... 937,50</t>
  </si>
  <si>
    <t>Answer must contain: (1) Verbuchung des Verkaufs, (2) Berechnung der Abschreibung und des Buchwertes, (3) Verbuchung der Abschreibung, (4) Ausbuchen des Buchwertes, (5) Berechnung des Verkaufserlöses, (6) Saldierungsbuchungen</t>
  </si>
  <si>
    <t>Ist die folgende Buchung im Zusammenhang mit dem Verkauf und der Ausbuchung einer Maschine richtig oder falsch? Wenn falsch, geben Sie den Fehler an und stellen Sie die Buchung richtig.
Buchung:
Bank
an Erlöse aus dem Abgang von Anlagen 20%
an Vorsteuer</t>
  </si>
  <si>
    <t>Die Buchung ist falsch, es wurde "Vorsteuer" statt "Umsatzsteuer" verwendet.
Korrekte Buchung:
Bank
an Erlöse aus dem Abgang von Anlagen 20 %
an Umsatzsteuer</t>
  </si>
  <si>
    <t>Answer must contain: (1) Beantwortung ob richtig oder falsch, (2) Begründung wenn falsch, (3) Korrekter Buchungssatz wenn falsch</t>
  </si>
  <si>
    <t>Ist die folgende Buchung im Zusammenhang mit dem Verkauf und der Ausbuchung einer Maschine richtig oder falsch? Wenn falsch, geben Sie den Fehler an und stellen Sie die Buchung richtig.
Buchung:
Abschreibung
an Maschine</t>
  </si>
  <si>
    <t>Die Buchung ist richtig.</t>
  </si>
  <si>
    <t xml:space="preserve">Ist die folgende Buchung im Zusammenhang mit der Ausbuchung einer Maschine richtig oder falsch? Wenn falsch, geben Sie den Fehler an und stellen Sie die Buchung richtig.
Buchung:
Erlöse aus dem Abgang von Anlagen
an Maschinen
</t>
  </si>
  <si>
    <t>Die Buchung ist falsch, der Buchwert wird über das Konto "Buchwert abgegangener Anlagen" ausgebucht.
Korrekte Buchung:
Buchwert abgegangener Anlagen
an Maschinen</t>
  </si>
  <si>
    <t>Sind die folgenden Buchungen im Zusammenhang mit dem Verkauf und der Ausbuchung einer Maschine richtig oder falsch? Die Buchungen zeigen die Saldierungsbuchungen, wenn der Verkaufserlös größer als der Buchwert ist. Wenn falsch, geben Sie den Fehler an und stellen Sie die Buchung richtig.
Buchungen:
Erlöse aus dem Abgang von Anlagen
an Erträge aus dem Abgang von Anlagen
Buchwert abgegangener Anlagen
an Erträge aus dem Abgang von Anlagen</t>
  </si>
  <si>
    <t>Die erste Buchung ist richtig.
Die zweite Buchung ist falsch, Soll und Haben wurden vertauscht.
Korrekte Buchungen:
Erlöse aus dem Abgang von Anlagen
an Erträge aus dem Abgang von Anlagen
Erträge aus dem Abgang von Anlagen
an Buchwert abgegangene Anlagen</t>
  </si>
  <si>
    <t>In der Schlosserei Karl Hummer e. U., Eisenstadt, wurde am 15. Juni d. J. eine Werkzeugmaschine durch Brand vollkommen vernichtet. Daten laut Anlagenbuchführung dieser Maschine: Anschaffungswert € 16.400,–, Buchwert am 1. Jan. € 6.560,–, Nutzungsdauer zehn Jahre
Am 20. August überwies die Versicherung als Vergütung des Schadens € 5.600,–, die der Buchhalter mit dem Buchungssatz:
2 Bank ........... 5.600,00
an 0 Maschinen ....... 5.600,00
verbuchte.
a) Stimmt der Buchungssatz? Wenn nein, wie lautet er richtig?
b) Wie viel Euro beträgt der entstandene buchmäßige Schaden? Geben Sie die Berechnung an.</t>
  </si>
  <si>
    <t>a) Der Buchungssatz stimmt nicht.
Korrekte Buchung:
2 Bank …... 5.600,00
an 4 Versicherungsentschädigungen für Anlagenabgänge …...... 5.600,00
b)
Abschreibung für 0,5 Jahre: 16.400,00 / 10 / 2 = 820,00
6.560,00 - 820,00 = 5.740,00 (=Restbuchwert)
Der Schaden beträgt 5.740,00.</t>
  </si>
  <si>
    <t>Answer must contain: (1) Antwort ob der Buchungssatz korrekt ist, (2) Aufstellen des korrekten Buchungssatzes (3) Berechnung des buchmäßigen Schadens</t>
  </si>
  <si>
    <t>Ein am 30. Okt. 2013 angeschaffter Lkw, Anschaffungswert € 75.800,00, Abschreibung 20 % p. a., BW am 1. Jan. 2017 € 22.740,00, wird am 8. Mai 2017 um € 16.200,00 + € 3.240,00 USt = € 19.440,000 gegen PSK-Überweisung verkauft.
Berechnen Sie die Abschreibung des LKW für 2017, den Buchwert des verkauften LKW am Verkaufstag und ob sich durch die Gegenüberstellung von Verkaufserlös und Buchwert ein positiver oder negativer Saldo ergibt.</t>
  </si>
  <si>
    <t>**Berechnung Abschreibung**
Verkauf am 8. Mai -&gt; Halbjahresabschreibung
75.800,00 * 20% / 2 = 7.580,00
**Berechnung Buchwert am Verkaufstag**
22.740,00 - 7.580,00 = 15.160,00
**Berechnung Verkaufserlös**
16.200,00 - 15.160,00 = 1.040,00
Es ergibt sich ein positiver Saldo.</t>
  </si>
  <si>
    <t>Answer must contain: (1) Berechnung der Abschreibung, (2) Berechnung des Buchwertes, (3) Berechnung des Verkaufserlöses</t>
  </si>
  <si>
    <t>UGB knowledge, accounting knowledge, calculation, asset valuation, conceptual understanding</t>
  </si>
  <si>
    <t>02.09.: Abrechnung der Servus Bau GmbH über den Bau einer neuen Verkaufshalle und der Renovierung der bestehenden Halle (siehe Rechnung). Die Verkaufshalle wird am 04. September feierlich eingeweiht und in Betrieb genommen.
08.09.: Ausgleich der Rechnung durch Banküberweisung
31.12.: Das ursprüngliche Verwaltungs- und Verkaufsgebäude mit einem Anschaffungswert von 980.500,00 wird mit 2,5% p.a. abgeschrieben; bisherige Nutzungsdauer 21 Jahre. Bei der neuen Verkaufshalle handelt es sich um einen Zubau, der auf die Restnutzungsdauer des bestehenden Gebäudes abgeschrieben wird.
Stellen Sie alle erforderlichen Buchungen (einschließlich der vorzunehmenden Abschreibung per 31.12.) inklusive Kontoklassen auf und geben Sie die Berechnung der Abschreibung an.</t>
  </si>
  <si>
    <t>**02.09.**
0 Gebäude .......... 195.000,00
7 Instandhaltung …........ 28.000,00
2 Vorsteuer …........ 44.600,00
an 3 Servus Bau GmbH .......... 267.600,00
**08.09.**
3 Servus Bau GmbH .......... 267.600,00
an 2 Bank …........ 267.600,00
**Berechnung Abschreibung**
Bestehendes Gebäude: 980.500 * 2,5% = 24.512,50
Verkaufshalle: 195.000 : (40-21) : 2 = 5.270,00
24.512,50 + 5.270,00 = 29.782,50
**31.12.**
7 Abschreibung .......... 29.782,50
an 0 Gebäude .......... 29.782,50</t>
  </si>
  <si>
    <t>Answer must contain: (1) Verbuchung der Eingangsrechnung, (2) Verbuchung der Banküberweisung, (3) Berechnung der Abschreibung, (4) Verbuchung der Abschreibung</t>
  </si>
  <si>
    <t>20.11.: Kauf eines Profi-Farbkopierers für die Marketingabteilung von der Josef Rosner KG, Büromaschinengroßhandel, um 7.250,00 + 1.450,00 USt = 8.700,00, Inbetriebnahme 27.11.2017
24.11.: Rechnung über den Transport durch Schenker &amp; Co AG um 180,00 (inkl. 20% USt)
04.12.: Überweisung von 8.700,00 an Josef Rosner KG und 180,00 (inkl. 20 % USt) an Schenker &amp; Co KG
31.12.: Nutzungsdauer des Profi-Farbkopierers fünf Jahre
Verbuchen Sie die Anschaffung des Profi-Farbkopierers und die Überweisung, berechnen Sie den Anschaffungswert und die Abschreibung und verbuchen Sie die Abschreibung.
Stellen Sie alle erforderlichen Buchungen (einschließlich der vorzunehmenden Abschreibung inkl. Berechnung per 31.12.) inklusive Kontoklassen auf.</t>
  </si>
  <si>
    <t>Answer must contain: (1) Verbuchung des Anlagenzuganges, (2) Verbuchung der Transportkosten als nachträgliche Anschaffungskosten, (3) Verbuchung der Überweisung, (4) Berechnung des Anschaffungswertes, (5) Berechnung der Abschreibung, (6) Verbuchung der Abschreibung</t>
  </si>
  <si>
    <t>28.08.: Kauf einer Billardlampe "Karambolage" um 120,00 + 24,00 USt = 144,00 bei der Heiku-Automaten GmbH gegen spätere Bezahlung. Die Lampe ist als geringwertiges Wirtschaftsgut im Jahr der Anschaffung voll abzuschreiben.
11.09.: Bankausgang 144,00; Ausgleich der Rechnung
Stellen Sie alle erforderlichen Buchungen inklusive Kontoklassen auf.</t>
  </si>
  <si>
    <t>**28.08.**
7 Abschreibung geringwertige Wirtschaftsgüter ......... 120,00
2 Vorsteuer …........ 24,00
an 3 Heiku-Automaten GmbH .......... 144,00
**11.09.**
3 Heiku-Automaten GmbH …....... 144,00
an 2 Bank …............ 144,00</t>
  </si>
  <si>
    <t>Answer must contain: (1) Verbuchung der Herstellungskosten, (2) Berechnung der Abschreibung, (3) Verbuchung der Abschreibung</t>
  </si>
  <si>
    <t>Die Starckl GmbH, Linz, welche im Produktbereich Holzzerkleinerungsmaschinen der Marktführer ist,  stellt für den Eigenbedarf eine stationäre Hackmaschine zur Erzeugung von Hackschnitzeln für das firmeneigene Heizkraftwerk her. Herstellungskosten 45.000, Inbetriebnahme erfolgt am 27.03., Nutzungsdauer 10 Jahre.
Stellen Sie alle erforderlichen Buchungen einschließlich der Berechnung und Verbuchung der Abschreibung inklusive Kontoklassen auf.</t>
  </si>
  <si>
    <t>Der Generalunternehmer Otis GmbH errichtet im Verwaltungsgebäude des Sportartikelhandelsunternehmens Gallo GmbH, Innsbruck, mehrere Personenaufzüge. Mit der Bauausführung wurde im August 2016 begonnen.
05.10.2016: Teilrechnung 85.000,00 + 17.000,00 USt = 102.000,00
07.12.2016: Teilrechnung 72.500,00 + 14.500,00 USt = 87.000,00
29.12.2016: Teilrechnung 102.000,00 + 20.400,00 USt = 122.400,00
30.01.2017: Endabrechnung 312.000,00 - 259.500,00 Teilzahlungen = 52.500,00 + 10.500,00 USt = 63.000,00
Stellen Sie alle erforderlichen Buchungen (einschließlich der vorzunehmenden Abschreibung per 31.12.) inklusive Kontoklassen auf. Erfassen Sie die Personenaufzüge auf dem Konto 0 sonstige Betriebsanlagen; Nutzungsdauer 15 Jahre (Restnutzungsdauer des Gebäudes)</t>
  </si>
  <si>
    <t>**05.10.2016**
0 Anlagen im Bau ......... 85.000,00
2 Vorsteuer …........ 17.000,00
an 3 Otis GmbH .......... 102.000,00
**07.12.2016**
0 Anlagen im Bau ......... 72.500,00
2 Vorsteuer …........ 14.500,00
an 3 Otis GmbH .......... 87.000,00
**29.12.2016**
0 Anlagen im Bau ......... 102.000,00
2 Vorsteuer …........ 20.400,00
an 3 Otis GmbH .......... 122.400,00
**30.01.2017**
0 Anlagen im Bau ......... 52.500,00
2 Vorsteuer …........ 10.500,00
an 3 Otis GmbH .......... 63.000,00
**30.01.2017**
0 sonstige Betriebsanlagen ......... 312.000,00
an 0 Anlagen im Bau …........ 312.000,00
**31.12.2017**
7 Abschreibung ......... 20.800,00
an 0 sonstige Betriebsanlagen …........ 20.800,00</t>
  </si>
  <si>
    <t>Answer must contain: (1) Verbuchung der Teilrechnungen, (2) Verbuchung der Endabrechnung, (3) Umbuchung der Anlage im Bau, (4) Verbuchung der Abschreibung</t>
  </si>
  <si>
    <t>Das Sägewerk A. Hofstätter KG verkauft am 11.12.2017 eine Maschine um 9.600,00 + 1.920,00 USt = 11.520,00. Der Käufer bezahlt bar bei Übernahme. Daten laut Anlagenverzeichnis: AW 48.000,00; BW am 01.01. 21.000,00; Nutzungsdauer 8 Jahre.
Stellen Sie alle erforderlichen Buchungen (Verbuchung des Verkaufserlöses, Ausbuchung der Anlage, Saldierungsbuchungen) und Berechnungen inklusive Kontoklassen auf.</t>
  </si>
  <si>
    <t>**11.12.2017**
2 Kassa ......... 11.520,00
an 4 Erlöse aus dem Abgang von Anlagevermögen .......... 9.600,00
an 3 Umsatzsteuer …..... 1.920,00
**Berechnungen**
Berechnung Abschreibung: 48.000,00 / 8 = 6.000,00
Berechnung Restbuchwert: 21.000,00 - 6.000,00 = 15.000,00
Berechnung Verkaufserlös: 9.600,00 - 15.000,00 = -5.400
**31.12.**
7 Abschreibung ....... 6.000,00
an 0 Maschinen ........... 6.000,00
**31.12.**
7 Buchwert abgegangener Anlagen ......... 15.000,00
an 0 Maschinen .......... 15.000,00
**31.12.**
4 Erlöse aus dem Abgang von Anlagevermögen ......... 9.600,00
an 7 Verluste aus dem Abgang von Anlagevermögen ......... 9.600,00
**31.12.**
7 Verluste aus dem Abgang von Anlagevermögen ....... 15.000,00
an 7 Buchwert abgegangener Anlagen ....... 15.000,00</t>
  </si>
  <si>
    <t>Answer must contain: (1) Verbuchung des Verkaufs, (2) Verbuchung der Abschreibung, (3) Verbuchung des Anlagenabganges, (4) Verbuchung der Saldierungsbuchungen</t>
  </si>
  <si>
    <t>Die Dr. Schneider GmbH richtet ein Büro neu ein.
17.02.: Die Tischlerei Martin Guggerbauer e.U. legt eine Anzahlungsrechnung, die lautet auf 5.000,00 + 1.000,00 USt = 6.000,00.
19.02.: Kassaausgang 6.000,00
03.07.: Lieferung und Rechnungslegung durch die Tischlerei Martin Guggerbauer e.U. (siehe Auszug aus der Rechnung)
01.08.: Ausgleich der Rechnung durch Banküberweisung in Höhe von 21.900,00.
Stellen Sie alle erforderlichen Buchungen inklusive Kontoklassen auf.</t>
  </si>
  <si>
    <t>**17.02.**
3 Verrechnungskonto geleistete Anzahlungen …........ 6.000,00
an 3 Martin Guggerbauer e.U. ….......... 6.000,00
**19.02.**
3 Martin Guggerbauer e.U. …........... 6.000,00
an 2 Kassa ........... 6.000,00
**19.02.**
0 geleistete Anzahlungen für Sachanlagen …......... 5.000,00
2 Vorsteuer ............ 1.000,00
an 3 Verrechnungskonto geleistete Anzahlungen ........... 6.000,00
**03.07.**
0 Büroausstattung ............ 23.250,00
2 Vorsteuer ............. 4.650,00
an 3 Martin Guggerbauer e.U. ............. 27.900,00
**03.07.**
3 Martin Guggerbauer e.U. ............ 6.000,00
an 0 geleistete Anzahlungen für Sachanlagen .......... 5.000,00
an 2 Vorsteuer ............ 1.000,00
**01.08.**
3 Martin Guggerbauer e.U. ......... 21.900,00
an 2 Bank ............. 21.900,00</t>
  </si>
  <si>
    <t>Answer must contain: (1) Verbuchung der Anzahlungsrechnung, (2) Verbuchung des Kassaausgangs, (3) Umbuchung der Anzahlung, (4) Verbuchung der Rechnung, (5) Umbuchung der Anzahlung, (6) Verbuchung der Banküberweisung</t>
  </si>
  <si>
    <t>Haberl, Klaus-Peter; Veidl, Gerhard; Bauer, Helmut; Lechner, Rudolf (2018): Unternehmensrechnung: Kostenrechnung – Bilanzierung HAK V, Wien, MANZ Verlag Schulbuch GmbH.</t>
  </si>
  <si>
    <t>Gründl, Claudia Martina; Dobrovits, Ingrid; Raso, Andrea; Schneider, Dieter; Stummvoll Karin; Tolic-Sapina, Ivana (2021): das rechnungswesenbuch: Unternehmensrechnung HAK V, Wien, Jugend &amp; Volk.</t>
  </si>
  <si>
    <t>Im Juni X26 hat Lydia nun endlich das von der Werbeagentur "trick 17" designte Firmenschild mit Logo erhalten, welches noch im Juni X26 direkt über dem Eingang des Yoga-Studios angebracht wurde. Die von der Werbeagentur im Juni X26 gelegte Rechnung wurde sofort überwiesen. Lydia möchte das Firmenschild 15 Jahre lang nutzen. Überprüfen Sie folgende Aussagen mit Annahmen zu dem von Lydia gekauften Firmenschild auf Ihre Richtigkeit und kreuzen Sie anschließend an.</t>
  </si>
  <si>
    <t>A) Bleibt der Kaufpreis für das Firmenschild unter 800,00 netto, wird Lydia dieses im Jahr X26 zur Gänze als Ausgabe ansetzen und von § 13 EStG (Geringwertiges Wirtschaftsgut) Gebrauch machen. | B) Beträgt der Kaufpreis für das Firmenschild 300,00 (exkl. 20% USt), muss Lydia im Jahr X26 20,00 als Ausgabe ansetzen. | C) Beträgt der Kaufpreis für das Firmenschild 870,00 (exkl. 20% USt), muss Lydia im Jahr X26 29,00 als Ausgabe ansetzen.</t>
  </si>
  <si>
    <t>Answer must contain: (1) Verbuchung der Abschreibung</t>
  </si>
  <si>
    <t>Nachdem der alte Kaffeeautomat Saeco (siehe Anlagenverzeichnis) dem gestiegenen Verbrauch nicht mehr gewachsen war, wurde er gegen einen neuen Kaffeeautomaten von Melitta eingetauscht. Die Rechnung (siehe angehängte Rechnung E87) wurde bereits ordnungsgemäß verbucht. Weiters wurden 180,00 (exkl. 20% USt) für die Installation auf das Konto 7 Instandhaltung gebucht. Der neue Kaffeeautomat wurde am 28.03. in Betrieb genommen, Nutzungsdauer 4 Jahre
Stellen Sie alle erforderlichen Buchungen (einschließlich der vorzunehmenden Abschreibung per 31.12. und Saldierungsbuchungen) inklusive Kontoklassen auf. Geben Sie die Berechnung der Abschreibung des neuen Kaffeeautomaten an.</t>
  </si>
  <si>
    <t>**31.12.**
7 Abschreibung …........ 93,75
an 0 Maschinen …............ 93,75
**31.12.**
7 Buchwert abgegangener Anlagen …....... 375,00
an 0 Maschinen …....... 375,00
**31.12.**
7 Verluste aus dem Abgang von Anlagen ........ 375,00
an 7 Buchwert abgegangener Anlagen ........... 375,00
**31.12.**
4 Erlöse abgegangener Anlagen .............. 250,00
an 7 Verluste aus dem Abgang von Anlagen ............ 250,00
**31.12.**
0 Maschinen …......... 150,00
an 7 Instandhaltung …....... 150,00
**Berechnung Abschreibung**
5.860,00 + 150,00 = 6.010,00
6.010,00 / 4 = 1.502,50
*31.12.**
7 Abschreibung ............ 1.502,50
an 0 Maschinen .......... 1502,50</t>
  </si>
  <si>
    <t>Answer must contain: (1) Verbuchung der Abschreibung der alten Anlage, (2) Ausbuchen des Buchwertes, (3) Saldierungsbuchungen, (4) Aktivierung der Installationskosten, (5) Berechnung der Abschreibung der neuen Anlage (6) Verbuchung der Abschreibung der neuen Anlage</t>
  </si>
  <si>
    <t>Gründl, Claudia Martina; Dobrovits, Ingrid; Tolic-Sapina, Ivana; Schneider, Dieter; Raso, Andrea; Stummvoll, Karin (2020): das rechnungswesenbuch: Unternehmensrechnung HAK III, Wien, Jugend &amp; Volk.</t>
  </si>
  <si>
    <t>In der Vergangenheit wurde ein Gabelstapler um insgesamt 5.600,00 angeschafft, Nutzungsdauer 8 Jahre. Der Buchwert einer Maschine per 01.01. beträgt nach 7,5 Abschreibungen noch 350,00. Da die Anlage weiterhin im Betrieb bleibt, ist sie auf den Erinnerungscent abzuschreiben.
Stellen Sie alle erforderlichen Buchungen inklusive Kontoklassen auf.</t>
  </si>
  <si>
    <t>**31.12.**
7 Abschreibung ............. 349,99
an 0 Maschinen ............... 349,99</t>
  </si>
  <si>
    <t>Geben Sie mindestens fünf Gründe an, weshalb die Anlagen eines Friseursalons mit der Zeit an Wert verlieren. Nennen Sie konkrete Beispiele.</t>
  </si>
  <si>
    <t>technische Entwertung des Computers, technische Entwertung der Computer-Registrierkasse, wirtschaftliche Abnutzung der Waschanlagen, wirtschaftliche Abnutzung der Stühle, wirtschaftliche Abnutzung der Theke</t>
  </si>
  <si>
    <t>Answer must contain: (1) Fünf Grunde für Wertverlust inklusive konkreten Beispielen</t>
  </si>
  <si>
    <t>Sie kaufen am 01.12. einen neuen Computer (Wirtschaftsjahr = 01.01. bis 31.12.). Welche Regelung müssen Sie bei der Berechnung der Abschreibung im Anschaffungsjahr beachten?</t>
  </si>
  <si>
    <t>Halbjahresregelung der Abschreibung</t>
  </si>
  <si>
    <t>Answer must contain: (1) Beantwortung der Frage</t>
  </si>
  <si>
    <t>UGB knowledge, accounting knowledge, asset valuation, conceptual explanation</t>
  </si>
  <si>
    <t>Der Bio-Saftproduzent "Fit4Life" tauscht am 10.12.2020 Zug um Zug seine alte Abfüllanlage gegen eine neue und schnellere ein. Der Tauscherlös hierfür beträgt 1.200.000,00 exkl. USt, die neue Anlage hat Anschaffungskosten von 9.000.000,00 exkl. USt. 
Alte Abfüllanlage: Anschaffungskosten 8.000.000,00; Nutzungsdauer 10 Jahre; Inbetriebnahme 05.05.2012
Neue Abfüllanlage: Anschaffungskosten 9.000.000,00; Nutzungsdauer 15 Jahre; Inbetriebnahme 10.12.2020.
Berechnen Sie den beim Eintausch der alten Abfüllanlage erzielten Erfolg. Handelt es sich um einen Gewinn oder einen Verlust? Geben Sie die Berechnung an.</t>
  </si>
  <si>
    <t>Bisherige Nutzungsdauer von 05.05.2012 bis 01.01.2020: 8 Jahre
Abschreibung: 8.000.000 / 10 = 800.000
Buchwert 01.01.2020: 8.000.000 - 800.000 * 8 = 1.600.000
Buchwert 31.12.2020: 1.600.000 - 800.000 = 800.000
Tauscherlös - Buchwert = 1.200.000 - 800.000 = 400.000
Es wird ein Gewinn in Höhe von 400.000 erzielt.</t>
  </si>
  <si>
    <t>Answer must contain: (1) Berechnung des erzielten Erfolgs, (2) Angabe ob es sich um einen Gewinn oder Verlust handelt</t>
  </si>
  <si>
    <t xml:space="preserve">Bei welchen Arten des Anlagevermögens kann eine Abwertung bei kurzfristiger Wertminderung durchgeführt werden?
</t>
  </si>
  <si>
    <t>A) Wertpapiere | B) Gebäude | C) Grundstück | D) Lkw | E) Bundesanleihe</t>
  </si>
  <si>
    <t>A, E</t>
  </si>
  <si>
    <t>Exact set match required (A, E). Order irrelevant. Case-insensitive. No additional choices allowed.</t>
  </si>
  <si>
    <t>UGB knowledge, accounting knowledge, asset valuation</t>
  </si>
  <si>
    <t>Sport Stern hat als Wertanlage um 100.000,00 ein Grundstück erworben. Aber leider: Bereits zwei Jahre später am 31.12. liegt der Wert des Grundstücks nur noch bei 90.000,00. Ist das Grundstück nun mit 100.000,00 oder mit 90.000,00 zu bilanzieren? Gehen Sie auf mögliche Varianten ein.</t>
  </si>
  <si>
    <t>Wenn die Wertminderung des Grundstücks von Dauer ist (z.B. Lärmbelästigung durch angrenzende Schnellstraße), muss das Grundstück mit 90.000,00 bilanziert werden.
Wenn die Wertminderung voraussichtlich nicht von Dauer ist (z.B. Bau einer Mülldeponie wird vorläufig nur überlegt), muss das Grundstück weiterhin mit 100.000,00 ausgewiesen werden.</t>
  </si>
  <si>
    <t>Answer must contain: (1) Unterscheidung zwischen dauerhafter und vorübergehender Wertminderung, (2) Erklärung des Wertes bei dauerhafter Wertminderung, (3) Erklärung des Wertes bei vorübergehender Wertminderung</t>
  </si>
  <si>
    <t>Sport Stern hat als Wertanlage um 100.000,00 ein Grundstück erworben. Bereits zwei Jahre später am 31.12. liegt der Wert des Grundstücks bei 120.000,00. Ist das Grundstück nun mit 100.000,00 (Kaufpreis) oder mit 120.000,00 zu bilanzieren?</t>
  </si>
  <si>
    <t>Das Grundstück darf maximal mit 100.000,00 (Anschaffungskosten) in der Bilanz stehen. Auch wenn es zwischenzeitlich an Wert gewonnen hat, gilt das Prinzip der Vorsicht. Es kommt zu einer stillen Reserve über 20.000,00. Erst wenn das Grundstück tatsächlich um 120.000,00 verkauft werden kann, wird diese stille Reserve aufgedeckt. Das bedeutet, dass der Verkaufserlös gewinnerhöhend eingebucht wird, aber nur der in der Bilanz vorhandene Wert des Grundstücks den Gewinn mindert. Der Differenzbetrag ist die stille Reserve, die nun zum Vorschein kommt.</t>
  </si>
  <si>
    <t>Answer must contain: (1) Das Grundstück ist maximal bis zu den Anschaffungskosten zu bilanzieren, (2) Bildung einer stillen Reserve</t>
  </si>
  <si>
    <t>UGB knowledge, accounting knowledge, conceptual explanation, asset valuation</t>
  </si>
  <si>
    <t>Da das Geschäftslokal auf der Hauptstraße viel zu klein für Studioaufnahmen ist, hat Karina, die Besitzerin der Fotostudios Schwarz, ein Grundstück am Stadtrand gekauft. Kaufpreis 400 Quadratmeter um 80,00 pro Quadratmeter = 32.000,00 insgesamt.
Variante 1: Aktueller Wert 120,00 pro Quadratmeter
Variante 2: Aktueller Wert: 60,00 pro Quadratmeter. Es dürfte sich um eine Preisschwankung handeln.
Variante 3: Aktueller Wert: 30,00 pro Quadratmeter. Das Grundstück wurde (dauerhaft) in Grünland umgewidmet.
Ermitteln Sie für jede Variante den aktuellen Wert des Grundstücks, entscheiden Sie, in welcher Höhe das Grundstück in der Bilanz gezeigt wird und geben Sie an, ob und in welcher Höhe es zu einer stillen Reserve kommt.</t>
  </si>
  <si>
    <t>Variante 1:
Aktueller Wert: 400 * 120,00 = 48.000,00
Bilanzansatz: 32.000,00
stille Reserve: 48.000,00 - 32.000,00 = 16.000,00
Variante 2:
Aktueller Wert: 400 * 60,00 = 24.000,00
Bilanzansatz: 32.000,00
stille Reserve: keine stille Reserve
Variante 3:
Aktueller Wert: 400 * 30 = 12.000,00
Bilanzansatz: 32.000,00
stille Reserve: keine stille Reserve</t>
  </si>
  <si>
    <t>Answer must contain: (1) Berechnung der aktuellen Wertes für Variante 1, (2) Angabe des Bilanzansatzes für Variante 1, (3) Berechnung der stillen Reserve für Variante 1, (4) Berechnung der aktuellen Wertes für Variante 2, (5) Angabe des Bilanzansatzes für Variante 2, (6) Berechnung der stillen Reserve für Variante 2, (7) Berechnung der aktuellen Wertes für Variante 2, (8) Angabe des Bilanzansatzes für Variante 2, (9) Berechnung der stillen Reserve für Variante 2</t>
  </si>
  <si>
    <t>UGB knowledge, accounting knowledge, conceptual understanding, asset valuation, calculation</t>
  </si>
  <si>
    <t>Das Unternehmen Toy Box kauft im Oktober 2020 zur Betriebserweiterung ein Grundstück in Pram, Oberösterreich. Anschaffungskosten des Grundstücks: 520.000,00. Im Jahr 2022 wird der Wert des Grundstücks auf 500.000,00 geschätzt. Die weltweite Finanzkrise macht auch vor Oberösterreich nicht halt. Mit einem Anstieg der Preise ist zu diesem Zeitpunkt nicht zu rechnen. Im Jahr 2024 beträgt der Wert des Grundstücks bereits 750.000,00. Das Grundstück bleibt im Besitz der Toy Box. Im Jahr 2026 wird das Grundstück um 760.000,00 + 20% USt an einen privaten Investor verkauft.
Geben Sie die Bilanzansätze des Grundstücks für die einzelnen Jahre an, wenn ein möglichst hoher Gewinn ausgewiesen werden soll.</t>
  </si>
  <si>
    <t>Bilanzansatz 2020: 520.000,00
Bilanzansatz 2021: 520.000,00
Bilanzansatz 2022: 500.000,00
Bilanzansatz 2023: 500.000,00
Bilanzansatz 2024: 520.000,00 (maximal auf AK)
Bilanzansatz 2025: 520.000,00 (maximal auf AK)
Bilanzansatz 2026: 0,00 (wurde verkauft und ist nicht mehr in der Bilanz)</t>
  </si>
  <si>
    <t>Answer must contain: (1) Angabe des Bilanzansatzes für die Jahre 2020 bis 2026</t>
  </si>
  <si>
    <t>Das Unternehmen Toy Box kauft im Oktober 2020 zur Betriebserweiterung ein Grundstück in Pram, Oberösterreich. Anschaffungskosten des Grundstücks: 520.000,00. Im Jahr 2022 wird der Wert des Grundstücks auf 500.000,00 geschätzt. Die weltweite Finanzkrise macht auch vor Oberösterreich nicht halt. Mit einem Anstieg der Preise ist zu diesem Zeitpunkt nicht zu rechnen. Im Jahr 2024 beträgt der Wert des Grundstücks bereits 750.000,00. Das Grundstück bleibt im Besitz der Toy Box. Im Jahr 2026 wird das Grundstück um 760.000,00 + 20% USt an einen privaten Investor verkauft.
In welchen Jahren ist die GuV in diesem Zusammenhang betroffen?</t>
  </si>
  <si>
    <t>Die GuV ist in den Jahren 2022, 2024 und 2026 betroffen.</t>
  </si>
  <si>
    <t>Answer must contain: (1) Angabe der Jahre, in denen die GuV betroffen ist</t>
  </si>
  <si>
    <t xml:space="preserve">Geben Sie an ob es sich bei diesen Sachverhalten um eine Erweiterung oder um eine Instandhaltung handelt und begründen Sie:
A) Im Unternehmen SoftBit werden die Böden im Büro erneuert. Der alte Teppich wird durch einen hochwertigen Holzboden ersetzt.
B) Peter Stern lässt eine Sicherheitstüre im Eingangsbereich montieren.
C) Im Easy Living Hotel werden ungenutzte Abstellräume zu einem Wellnessbereich umgebaut.
D) Karina Schwarz lässt die Fassade des Fotostudios neu streichen.
E) Michael Resch lässt die Bäckerei für eine Fertigungsstraße (für Maschinensemmeln) ausbauen, damit der Misch-, Knet- und Formungsvorgang ohne Zwischenschritte erfolgen kann.
</t>
  </si>
  <si>
    <t>A) Instandhaltung: Wesentlicher Charakter der Anlage wird nicht verändert, Erhaltungsmaßnahmen
B) Instandhaltung: Wesentlicher Charakter der Anlage wird nicht verändert, Erhaltungsmaßnahmen
C) Erweiterung: Wesentliche Gebrauchsänderung, Substanzvermehrung
D) Instandhaltung: Wesentlicher Charakter der Anlage wird nicht verändert, Erhaltungsmaßnahmen
E) Erweiterung: Wesentliche Gebrauchsänderung, Substanzvermehrung -&gt; Maschine hat mehr Funktionen</t>
  </si>
  <si>
    <t>Answer must contain: (1) Begründung ob es sich um eine Erweiterung oder eine Instandhaltung handelt für A bis E</t>
  </si>
  <si>
    <t>UGB knowledge, accounting knowledge, asset valuation, conceptual understanding, conceptual explanation</t>
  </si>
  <si>
    <t xml:space="preserve">Im Jahr 2021 erfolgen Erweiterungen bestehender Anlagen. Berechnen Sie die Restnutzungsdauer für folgende Vermögensgegenstände und geben Sie den Rechenweg an:
A) Inbetriebnahme: 16.06.2008; Nutzungsdauer: 40 Jahre; Inbetriebnahmedatum neuer Vermögensgegenstand: 18.07.2021
B) Inbetriebnahme: 16.09.1986; Nutzungsdauer: 50 Jahre; Inbetriebnahmedatum neuer Vermögensgegenstand: 22.02.2021
</t>
  </si>
  <si>
    <t xml:space="preserve">A) Aktivierung erfolgt in der zweiten Jahreshälfte (18.07.2021)
Bis 01.01.2021: 13 Jahre genutzt
+ erste Jahreshälfte 2021: 0,5
= 13,5 Jahre bereits genutzt
Restnutzungsdauer = 26,5 Jahre (40 - 13,5)
B) Aktivierung der Erweiterung in der ersten Jahreshälfte (22.02.2021)
Bis 01.01.2021: 34,5 Jahre genutzt
Restnutzungsdauer = 15,5 Jahre (50 - 34,5)
</t>
  </si>
  <si>
    <t>Answer must contain: (1) Berechnung der Restnutzungsdauer für A, (2) Berechnung der Restnutzungsdauer für B</t>
  </si>
  <si>
    <t>Geben Sie an ob es sich bei diesen Sachverhalten um eine Erweiterung oder um einen Erhaltungsaufwand handelt. Geben Sie außerdem an, ob die Buchung auf dem Konto 0 Gebäude oder 7 Instandhaltung durch Dritte erfolgt.
A) Ein Flachdach wird durch ein Stelldach ersetzt, wodurch einige neue Büroräume geschaffen werden können.
B) Das Eingangstor aus Holz wird gegen ein Eisentor ausgewechselt.
C) Umbau der Kantine: Die Wände werden neu gestrichen, zusätzliche Leitungen verlegt und der Boden wird erneuert.
D) Ein Hotel baut direkt an das Hauptgebäude einen neuen Glaspavillion, welcher der Erholung der Gäste dienen soll.</t>
  </si>
  <si>
    <t>A) Erweiterung, Konto 0 Gebäude
B) Instandhaltung, Konto 7 Instandhaltung durch Dritte
C) Instandhaltung, Konto 0 Gebäude
D) Erweiterung, Konto 0 Gebäude</t>
  </si>
  <si>
    <t>Answer must contain: (1) Angabe, ob es sich um eine Erweiterung oder Instandhaltung handelt, (2) Angabe des Kontos</t>
  </si>
  <si>
    <t xml:space="preserve">Welche der folgenden Aussagen sind richtig?
</t>
  </si>
  <si>
    <t>A) Erhaltungsaufwendungen fallen für Arbeiten an, die den Vermögensgegenstand in einem ordnungsgemäßen Zustand erhalten sollen (z.B. Verputzen der Fassade)
B) Erhaltungsaufwendungen werden auf einem Anlagekonto (z.B. 0 Gebäude) verbucht.
C) Bei einer Erweiterung (Umbau) muss die Abschreibung der Anlage neu berechnet werden.
D) Wenn die Anschaffungskosten der Neuinvestition höher sind als das Restbuchwert der Anlage, muss die Nutzungsdauer der Neuinvestition für die Berechnung der Abschreibung herangezogen werden.
E) Wenn die Anschaffungskosten der Neuinvestition höher sind als der Restbuchwert der Anlage, muss die Neuinvestition auf die Restnutzungsdauer verteilt abgeschrieben werden.
F) Bei einer Erweiterung (Umbau) wird die Halbjahresregel (zur Ermittlung der Abschreibung) vernachlässigt. Die Restnutzungsdauer wird immer in ganzen Jahren angegeben.
G) die Restnutzungsdauer berechnet sich wie folgt: Anschaffungskosten / jährliche Abschreibung.
H) Die Restnutzungsdauer berechnet sich wie folgt: Buchwert / jährliche Abschreibung</t>
  </si>
  <si>
    <t>A, C, D, H</t>
  </si>
  <si>
    <t>Exact set match required (A, C, D, H). Order irrelevant. Case-insensitive. No additional choices allowed.</t>
  </si>
  <si>
    <t>Das ganze Wochenende verbrachten Claudia und Peter Stern damit, die neue Ladeneinrichtung für den Verkauf vorzubereiten. Nun sieht der Verkaufsraum modern und einladend aus. Die Geschäftsfälle im Zusammenhang mit dem Möbelkauf:
15.02.: Bestellung der Geschäftseinrichtung beim Tischler Ebner für den 15.04.
15.04.: Die Geschäftseinrichtung wird geliefert. Die Arbeiter übergeben die Ware und die folgende Rechnung (Rechnungsdatum: 14.04.) an Claudia Stern: Summe exkl. USt 4.100,00 + 820,00 USt = 4.920,00, zahlbar innerhalb von 60 Tagen netto Kassa oder innerhalb von 10 Tagen abzüglich 2% Skonto
15.04.: Die Verkaufspulte, Regale und Drehsessel werden von der Tischlerei Ebner sofort zusammengebaut und aufgestellt. Hierfür übergibt der Tischler eine Rechnung (Rechnungsdatum 15.04.) über 120,00 inkl. USt. Diese Rechnung bezahlt Claudia sofort und ohne Abzug.
16.04.: Bei Durchsicht der Möbel entdeckt Claudia einen tiefen Kratzer auf der Oberfläche eines Verkaufspults. Nach Rücksprache mit dem Tischler erhält sie eine Gutschrift in Höhe von 150,00 exkl. USt auf das Pult (Datum der Gutschrift: 16.04.)
23.04.: Claudia überweist den offenen Rechnungsbetrag abzüglich des vereinbarten Skontos an den Tischler.
Berechnen Sie die Anschaffungskosten der neuen Einrichtung. Geben Sie den Rechenweg an.</t>
  </si>
  <si>
    <t>Anschaffungskosten 4.100,00
- Mängelrabatt 150,00
= Zwischensumme 3.950,00
- 2% Skonto 79,00
+ Montage 100,00
= Anschaffungskosten 3.971,00</t>
  </si>
  <si>
    <t>Answer must contain: (1) Berücksichtigung des Mängelrabatts, (2) Berücksichtigung des Skontos, (3) Berücksichtigung der Montage, (4) Korrekte Berechnung</t>
  </si>
  <si>
    <t>UGB knowledge, accounting knowledge, asset valuation, conceptual understanding, calculation</t>
  </si>
  <si>
    <t>Gründl, Claudia Martina; Dobrovits, Ingrid; Tolic-Sapina, Ivana; Schneider, Dieter; Raso, Andrea; Stummvoll, Karin (2020): das rechnungswesenbuch: Unternehmensrechnung HAK II, Wien, Jugend &amp; Volk.</t>
  </si>
  <si>
    <t>Für den Teamraum der SoftBit GmbH wird eine Besprechungsgarnitur - bestehend aus einem Besprechungstisch zum Preis von 550,00 exkl. USt und sechs dazu passenden Sesseln, jeweils zum Preis von 100,00 exkl. USt, gekauft. Können der Besprechungstisch und die sechs Sessel als geringwertiges Wirtschaftsgut gebucht werden?</t>
  </si>
  <si>
    <t>Jedes Wirtschaftsgut für sich wäre ein geringwertiges Wirtschaftsgut, allerdings werden Tisch und Sessel gemeinsam genutzt. Es handelt sich um eine "wirtschaftliche Einheit". Das heißt, der Besprechungstisch muss gemeinsam mit den Sesseln aktiviert und abgeschrieben werden.</t>
  </si>
  <si>
    <t>Answer must contain: (1) Erkennung der wirtschaftlichen Einheit, (2) keine sofortige Abschreibung als geringwertiges Wirtschaftsgut möglich</t>
  </si>
  <si>
    <t>12308280_0007</t>
  </si>
  <si>
    <t>12308280_0010</t>
  </si>
  <si>
    <t>12308280_0011</t>
  </si>
  <si>
    <t>12308280_0012</t>
  </si>
  <si>
    <t>12308280_0014</t>
  </si>
  <si>
    <t>12308280_0017</t>
  </si>
  <si>
    <t>12308280_0021</t>
  </si>
  <si>
    <t>12308280_0024</t>
  </si>
  <si>
    <t>12308280_0025</t>
  </si>
  <si>
    <t>12308280_0027</t>
  </si>
  <si>
    <t>12308280_0028</t>
  </si>
  <si>
    <t>12308280_0029</t>
  </si>
  <si>
    <t>12308280_0032</t>
  </si>
  <si>
    <t>12308280_0033</t>
  </si>
  <si>
    <t>12308280_0034</t>
  </si>
  <si>
    <t>12308280_0035</t>
  </si>
  <si>
    <t>12308280_0038</t>
  </si>
  <si>
    <t>12308280_0039</t>
  </si>
  <si>
    <t>12308280_0040</t>
  </si>
  <si>
    <t>12308280_0041</t>
  </si>
  <si>
    <t>12308280_0042</t>
  </si>
  <si>
    <t>12308280_0043</t>
  </si>
  <si>
    <t>12308280_0044</t>
  </si>
  <si>
    <t>12308280_0046</t>
  </si>
  <si>
    <t>12308280_0047</t>
  </si>
  <si>
    <t>12308280_0052</t>
  </si>
  <si>
    <t>12308280_0055</t>
  </si>
  <si>
    <t>12308280_0058</t>
  </si>
  <si>
    <t>12308280_0060</t>
  </si>
  <si>
    <t>12308280_0061</t>
  </si>
  <si>
    <t>12308280_0064</t>
  </si>
  <si>
    <t>12308280_0066</t>
  </si>
  <si>
    <t>12308280_0073</t>
  </si>
  <si>
    <t>12308280_0077</t>
  </si>
  <si>
    <t>12308280_0079</t>
  </si>
  <si>
    <t>12308280_0080</t>
  </si>
  <si>
    <t>12308280_0081</t>
  </si>
  <si>
    <t>12308280_0082</t>
  </si>
  <si>
    <t>12308280_0083</t>
  </si>
  <si>
    <t>12308280_0084</t>
  </si>
  <si>
    <t>12308280_0085</t>
  </si>
  <si>
    <t>12308280_0086</t>
  </si>
  <si>
    <t>12308280_0087</t>
  </si>
  <si>
    <t>12308280_0088</t>
  </si>
  <si>
    <t>12308280_0090</t>
  </si>
  <si>
    <t>12308280_0091</t>
  </si>
  <si>
    <t>12308280_0092</t>
  </si>
  <si>
    <t>12308280_0093</t>
  </si>
  <si>
    <t>12308280_0095</t>
  </si>
  <si>
    <t>NEW_ID_REQUIRED (was 12308280_0003, duplicate with first occurrence)</t>
  </si>
  <si>
    <t>NEW_ID_REQUIRED (was 12308280_0004, duplicate with first occurrence)</t>
  </si>
  <si>
    <t>12308280_0098</t>
  </si>
  <si>
    <t>Reassigned ID from second occurrence; new ID = 12308280_0098</t>
  </si>
  <si>
    <t>non-current assets</t>
  </si>
  <si>
    <t>**20.11.**
0 Büromaschinen ......... 7.250,00
2 Vorsteuer …........ 1.450,00
an 3 Josef Rosner KG .......... 8.700,00
**24.11.**
0 Büromaschinen ......... 150,00
2 Vorsteuer …........ 30,00
an 3 Schenker &amp; Co AG .......... 180,00
**04.12.**
3 Josef Rosner KG ......... 8.700,00
an 2 Bank ............. 8.700,00
**04.12.**
3 Schenker &amp; Co KG …........ 180,00
an 2 Bank .......... 180,00
**Berechnung Anschaffungswert**
7.250,00 + 150,00 = 7.400,00
**Berechnung der Abschreibung**
7.400 / 5 / 2 = 740,00
**24.11.**
7 Abschreibung .............. 740,00
an 0 Büromaschinen ........... 740,00</t>
  </si>
  <si>
    <t>**27.03.**
0 Maschinen …....... 45.000,00
an 4 aktivierte Eigenleistungen …............. 45.000,00
**Berechnung Abschreibung**
45.000 / 10 = 4.500
**31.12.**
7 Abschreibung …............ 4.500,00
an 0 Maschinen …........ 4.500,00</t>
  </si>
  <si>
    <t>12308280_0047.pdf</t>
  </si>
  <si>
    <t>12308280_0060.pdf</t>
  </si>
  <si>
    <t>12308280_0064.pdf</t>
  </si>
  <si>
    <t>12308280_0072-0073_Anlagenverzeichnis.pdf | 12308280_0073.pdf</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</si>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</sst>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1">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rgb="FFFFE699"/>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9" borderId="3" xfId="0" applyFill="1" applyBorder="1"/>
    <xf numFmtId="0" fontId="0" fillId="10" borderId="3" xfId="0" applyFill="1" applyBorder="1"/>
    <xf numFmtId="0" fontId="3" fillId="5" borderId="1" xfId="0" applyFont="1" applyFill="1" applyBorder="1" applyAlignment="1">
      <alignment horizontal="center" vertical="center" wrapText="1"/>
    </xf>
    <xf numFmtId="0" fontId="0" fillId="4" borderId="2" xfId="0" applyFill="1" applyBorder="1" applyAlignment="1">
      <alignment vertical="top"/>
    </xf>
    <xf numFmtId="0" fontId="0" fillId="9" borderId="3" xfId="0" applyFill="1" applyBorder="1" applyAlignment="1">
      <alignment vertical="top"/>
    </xf>
    <xf numFmtId="0" fontId="0" fillId="9" borderId="3" xfId="0" applyFill="1" applyBorder="1" applyAlignment="1">
      <alignment vertical="top" wrapText="1"/>
    </xf>
    <xf numFmtId="0" fontId="0" fillId="4" borderId="3" xfId="0" applyFill="1" applyBorder="1" applyAlignment="1">
      <alignment vertical="top"/>
    </xf>
    <xf numFmtId="0" fontId="0" fillId="9" borderId="4" xfId="0" applyFill="1" applyBorder="1" applyAlignment="1">
      <alignment vertical="top" wrapText="1"/>
    </xf>
    <xf numFmtId="0" fontId="0" fillId="10" borderId="3" xfId="0" applyFill="1" applyBorder="1" applyAlignment="1">
      <alignment vertical="top"/>
    </xf>
    <xf numFmtId="0" fontId="0" fillId="10" borderId="3" xfId="0" applyFill="1" applyBorder="1" applyAlignment="1">
      <alignment vertical="top" wrapText="1"/>
    </xf>
    <xf numFmtId="0" fontId="0" fillId="10" borderId="4" xfId="0" applyFill="1" applyBorder="1" applyAlignment="1">
      <alignment vertical="top" wrapText="1"/>
    </xf>
    <xf numFmtId="0" fontId="8" fillId="9" borderId="3" xfId="1" applyNumberFormat="1" applyFill="1" applyBorder="1" applyAlignment="1">
      <alignment vertical="top" wrapText="1"/>
    </xf>
    <xf numFmtId="164" fontId="0" fillId="9" borderId="3" xfId="0" applyNumberFormat="1" applyFill="1" applyBorder="1" applyAlignment="1">
      <alignment vertical="top"/>
    </xf>
    <xf numFmtId="164" fontId="0" fillId="10" borderId="3" xfId="0" applyNumberFormat="1" applyFill="1" applyBorder="1" applyAlignment="1">
      <alignment vertical="top"/>
    </xf>
    <xf numFmtId="0" fontId="0" fillId="9" borderId="2" xfId="0" applyFill="1" applyBorder="1" applyAlignment="1">
      <alignment vertical="top"/>
    </xf>
    <xf numFmtId="0" fontId="0" fillId="8" borderId="2" xfId="0" applyFill="1" applyBorder="1" applyAlignment="1">
      <alignment vertical="top"/>
    </xf>
    <xf numFmtId="0" fontId="0" fillId="8" borderId="4" xfId="0" applyFill="1" applyBorder="1" applyAlignment="1">
      <alignment vertical="top"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DC1A590A-B457-4234-B85D-E395C36A37FF}">
    <text>Wird automatisch erstellt.</text>
  </threadedComment>
  <threadedComment ref="E1" dT="2026-02-04T10:06:41.14" personId="{C62A4413-969B-4491-8B0F-13F44FB6B05B}" id="{18F858D0-24A4-4E08-9E35-B41C4375EC6B}">
    <text>Nur bei SC oder MC-Fragen ausfüllen.</text>
  </threadedComment>
  <threadedComment ref="F1" dT="2026-02-04T10:34:50.24" personId="{C62A4413-969B-4491-8B0F-13F44FB6B05B}" id="{F8F7B86C-7FB4-4646-9E56-BA82ECB528AE}">
    <text>Bei längeren Aufgaben: Den Kontext der den Lösungsweg beschreibt, um zur richtigen Antwort zu gelangen, kurz beschreiben.</text>
  </threadedComment>
  <threadedComment ref="G1" dT="2026-02-04T10:35:52.32" personId="{C62A4413-969B-4491-8B0F-13F44FB6B05B}" id="{F032D972-4C8D-45B9-A1BD-02DAC3B3D610}">
    <text>Bei Praxisfällen oder längeren Antworten: Der Link zu Dokumenten (PDF, Excel etc.) in einem shared Speicherort.</text>
  </threadedComment>
  <threadedComment ref="I1" dT="2026-02-04T10:07:39.14" personId="{C62A4413-969B-4491-8B0F-13F44FB6B05B}" id="{A96DB10B-C3AE-4C36-9332-47024FAA7B8C}">
    <text>Die richtige Antwort auf die Frage angeben.</text>
  </threadedComment>
  <threadedComment ref="J1" dT="2026-02-04T10:38:47.65" personId="{C62A4413-969B-4491-8B0F-13F44FB6B05B}" id="{A48D548B-7402-43A4-8865-ACFC17EDDF01}">
    <text>Insbesondere bei offenen Fragen: Mögliche und auch akzeptierte Varianten der gold_answer.</text>
  </threadedComment>
  <threadedComment ref="K1" dT="2026-02-04T11:00:35.33" personId="{C62A4413-969B-4491-8B0F-13F44FB6B05B}" id="{4FA52019-4B24-4D12-93A7-3FB6395BA8CC}">
    <text xml:space="preserve">Kurze stichwortartige Beschreibung der „Benotung“. </text>
  </threadedComment>
  <threadedComment ref="L1" dT="2026-02-04T10:37:24.28" personId="{C62A4413-969B-4491-8B0F-13F44FB6B05B}" id="{5330688F-862C-473E-87F0-F8AA0A610A0E}">
    <text>Bei Berechnungen oder Buchungssätzen: Numerische Toleranz bzw Rundungen (z.B. „+/- 1“).</text>
  </threadedComment>
  <threadedComment ref="N1" dT="2026-02-04T09:57:17.19" personId="{C62A4413-969B-4491-8B0F-13F44FB6B05B}" id="{C8D228AC-15F6-49AC-A2F5-9C4922DF151E}">
    <text>Jahr der anwendbaren Rechtslage zur jeweiligen Aufgabe angeben.</text>
  </threadedComment>
  <threadedComment ref="P1" dT="2026-02-04T09:54:44.83" personId="{C62A4413-969B-4491-8B0F-13F44FB6B05B}" id="{DA021695-6B85-4ABD-A726-94B05DC564E0}">
    <text>Engere Abgrenzung der Aufgabe (z.B. consolidation, current_assets, non-current_assets, personnel_expenses, etc.)</text>
  </threadedComment>
  <threadedComment ref="Q1" dT="2026-02-04T09:52:00.16" personId="{C62A4413-969B-4491-8B0F-13F44FB6B05B}" id="{8E2A6AD6-AE7B-4212-9920-6FEA0878CBB4}">
    <text>Stichwortartiges Anführen der notwendigen Skills, die zum Lösen der Aufgabe notwendig sind.</text>
  </threadedComment>
  <threadedComment ref="R1" dT="2026-02-04T09:56:42.26" personId="{C62A4413-969B-4491-8B0F-13F44FB6B05B}" id="{44D246E1-6BA6-4C1D-A861-81255853E43A}">
    <text>Bildungsniveau der Aufgabe angeben (z.B. Frage aus Bachelor-Lehrbuch -&gt; bachelor).</text>
  </threadedComment>
  <threadedComment ref="S1" dT="2026-02-04T09:30:32.17" personId="{C62A4413-969B-4491-8B0F-13F44FB6B05B}" id="{AFA4A47E-2A73-4BD3-8399-F60B00CF20ED}">
    <text>Quelle der Aufgabe angeben.</text>
  </threadedComment>
  <threadedComment ref="T1" dT="2026-02-04T09:16:02.72" personId="{C62A4413-969B-4491-8B0F-13F44FB6B05B}" id="{A34A7E9A-EA0B-4E4D-ACBB-0DADE654DD76}">
    <text>Matrikelnummer</text>
  </threadedComment>
  <threadedComment ref="W1" dT="2026-02-04T09:47:49.45" personId="{C62A4413-969B-4491-8B0F-13F44FB6B05B}" id="{014F765B-3815-4EFF-AA35-6E9C3FF614F0}">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uggingface.co/datasets/WURevision/AccountingBench/resolve/main/students/Chodasz/12308280_0060.pdf"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162D-9C12-497E-ACF3-0A800296FC58}">
  <dimension ref="A1:X51"/>
  <sheetViews>
    <sheetView tabSelected="1" workbookViewId="0">
      <pane ySplit="1" topLeftCell="A4" activePane="bottomLeft" state="frozen"/>
      <selection activeCell="B1" sqref="B1"/>
      <selection pane="bottomLeft" activeCell="D5" sqref="D5"/>
    </sheetView>
  </sheetViews>
  <sheetFormatPr defaultRowHeight="15" x14ac:dyDescent="0.25"/>
  <cols>
    <col min="1" max="1" width="13.42578125" bestFit="1" customWidth="1"/>
    <col min="2" max="2" width="13" bestFit="1" customWidth="1"/>
    <col min="3" max="3" width="12.7109375" bestFit="1" customWidth="1"/>
    <col min="4" max="4" width="37.42578125" customWidth="1"/>
    <col min="5" max="6" width="12.28515625" bestFit="1" customWidth="1"/>
    <col min="7" max="7" width="13.28515625" bestFit="1" customWidth="1"/>
    <col min="8" max="8" width="13.7109375" bestFit="1" customWidth="1"/>
    <col min="9" max="9" width="37.28515625" customWidth="1"/>
    <col min="10" max="10" width="13.7109375" bestFit="1" customWidth="1"/>
    <col min="11" max="11" width="26.42578125" customWidth="1"/>
    <col min="12" max="12" width="13" bestFit="1" customWidth="1"/>
    <col min="13" max="13" width="13.7109375" bestFit="1" customWidth="1"/>
    <col min="14" max="14" width="13.5703125" bestFit="1" customWidth="1"/>
    <col min="15" max="15" width="13.140625" bestFit="1" customWidth="1"/>
    <col min="16" max="16" width="13.42578125" bestFit="1" customWidth="1"/>
    <col min="17" max="17" width="22.7109375" customWidth="1"/>
    <col min="18" max="18" width="13.28515625" bestFit="1" customWidth="1"/>
    <col min="19" max="19" width="11.42578125" bestFit="1" customWidth="1"/>
    <col min="20" max="20" width="13.28515625" bestFit="1" customWidth="1"/>
    <col min="21" max="21" width="12.7109375" bestFit="1" customWidth="1"/>
    <col min="22" max="22" width="13.28515625" bestFit="1" customWidth="1"/>
    <col min="23" max="23" width="13.140625" bestFit="1" customWidth="1"/>
    <col min="24" max="24" width="10.5703125" bestFit="1" customWidth="1"/>
  </cols>
  <sheetData>
    <row r="1" spans="1:24" ht="30" x14ac:dyDescent="0.25">
      <c r="A1" s="17" t="s">
        <v>16</v>
      </c>
      <c r="B1" s="6" t="s">
        <v>0</v>
      </c>
      <c r="C1" s="6" t="s">
        <v>1</v>
      </c>
      <c r="D1" s="4" t="s">
        <v>316</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17" t="s">
        <v>29</v>
      </c>
      <c r="V1" s="17" t="s">
        <v>4</v>
      </c>
      <c r="W1" s="4" t="s">
        <v>30</v>
      </c>
      <c r="X1" s="4" t="s">
        <v>31</v>
      </c>
    </row>
    <row r="2" spans="1:24" ht="285" x14ac:dyDescent="0.25">
      <c r="A2" s="18" t="s">
        <v>256</v>
      </c>
      <c r="B2" s="19" t="s">
        <v>14</v>
      </c>
      <c r="C2" s="19" t="s">
        <v>14</v>
      </c>
      <c r="D2" s="20" t="s">
        <v>96</v>
      </c>
      <c r="E2" s="20"/>
      <c r="F2" s="20"/>
      <c r="G2" s="24"/>
      <c r="H2" s="19" t="s">
        <v>14</v>
      </c>
      <c r="I2" s="20" t="s">
        <v>97</v>
      </c>
      <c r="J2" s="20"/>
      <c r="K2" s="20" t="s">
        <v>98</v>
      </c>
      <c r="L2" s="19" t="s">
        <v>88</v>
      </c>
      <c r="M2" s="19" t="s">
        <v>32</v>
      </c>
      <c r="N2" s="19">
        <v>2016</v>
      </c>
      <c r="O2" s="19" t="s">
        <v>49</v>
      </c>
      <c r="P2" s="19" t="s">
        <v>309</v>
      </c>
      <c r="Q2" s="20" t="s">
        <v>93</v>
      </c>
      <c r="R2" s="20" t="s">
        <v>44</v>
      </c>
      <c r="S2" s="15" t="s">
        <v>95</v>
      </c>
      <c r="T2" s="19">
        <v>12308280</v>
      </c>
      <c r="U2" s="21" t="s">
        <v>85</v>
      </c>
      <c r="V2" s="21" t="s">
        <v>13</v>
      </c>
      <c r="W2" s="27">
        <v>46097</v>
      </c>
      <c r="X2" s="22"/>
    </row>
    <row r="3" spans="1:24" ht="150" x14ac:dyDescent="0.25">
      <c r="A3" s="18" t="s">
        <v>257</v>
      </c>
      <c r="B3" s="23" t="s">
        <v>14</v>
      </c>
      <c r="C3" s="23" t="s">
        <v>14</v>
      </c>
      <c r="D3" s="24" t="s">
        <v>100</v>
      </c>
      <c r="E3" s="24"/>
      <c r="F3" s="24"/>
      <c r="G3" s="24"/>
      <c r="H3" s="23" t="s">
        <v>14</v>
      </c>
      <c r="I3" s="24" t="s">
        <v>101</v>
      </c>
      <c r="J3" s="24"/>
      <c r="K3" s="24" t="s">
        <v>99</v>
      </c>
      <c r="L3" s="23" t="s">
        <v>88</v>
      </c>
      <c r="M3" s="23" t="s">
        <v>32</v>
      </c>
      <c r="N3" s="23">
        <v>2016</v>
      </c>
      <c r="O3" s="23" t="s">
        <v>49</v>
      </c>
      <c r="P3" s="23" t="s">
        <v>309</v>
      </c>
      <c r="Q3" s="24" t="s">
        <v>93</v>
      </c>
      <c r="R3" s="24" t="s">
        <v>44</v>
      </c>
      <c r="S3" s="16" t="s">
        <v>95</v>
      </c>
      <c r="T3" s="23">
        <v>12308280</v>
      </c>
      <c r="U3" s="21" t="s">
        <v>85</v>
      </c>
      <c r="V3" s="21" t="s">
        <v>13</v>
      </c>
      <c r="W3" s="28">
        <v>46097</v>
      </c>
      <c r="X3" s="25"/>
    </row>
    <row r="4" spans="1:24" ht="409.5" x14ac:dyDescent="0.25">
      <c r="A4" s="18" t="s">
        <v>258</v>
      </c>
      <c r="B4" s="19" t="s">
        <v>14</v>
      </c>
      <c r="C4" s="19" t="s">
        <v>14</v>
      </c>
      <c r="D4" s="20" t="s">
        <v>102</v>
      </c>
      <c r="E4" s="20"/>
      <c r="F4" s="20" t="s">
        <v>103</v>
      </c>
      <c r="G4" s="24"/>
      <c r="H4" s="19" t="s">
        <v>14</v>
      </c>
      <c r="I4" s="20" t="s">
        <v>104</v>
      </c>
      <c r="J4" s="20"/>
      <c r="K4" s="20" t="s">
        <v>105</v>
      </c>
      <c r="L4" s="19" t="s">
        <v>88</v>
      </c>
      <c r="M4" s="19" t="s">
        <v>32</v>
      </c>
      <c r="N4" s="19">
        <v>2016</v>
      </c>
      <c r="O4" s="19" t="s">
        <v>49</v>
      </c>
      <c r="P4" s="19" t="s">
        <v>309</v>
      </c>
      <c r="Q4" s="20" t="s">
        <v>93</v>
      </c>
      <c r="R4" s="20" t="s">
        <v>44</v>
      </c>
      <c r="S4" s="15" t="s">
        <v>95</v>
      </c>
      <c r="T4" s="19">
        <v>12308280</v>
      </c>
      <c r="U4" s="21" t="s">
        <v>85</v>
      </c>
      <c r="V4" s="21" t="s">
        <v>13</v>
      </c>
      <c r="W4" s="27">
        <v>46097</v>
      </c>
      <c r="X4" s="22"/>
    </row>
    <row r="5" spans="1:24" ht="75" x14ac:dyDescent="0.25">
      <c r="A5" s="18" t="s">
        <v>259</v>
      </c>
      <c r="B5" s="23" t="s">
        <v>14</v>
      </c>
      <c r="C5" s="23" t="s">
        <v>14</v>
      </c>
      <c r="D5" s="24" t="s">
        <v>106</v>
      </c>
      <c r="E5" s="24"/>
      <c r="F5" s="24"/>
      <c r="G5" s="24"/>
      <c r="H5" s="23" t="s">
        <v>14</v>
      </c>
      <c r="I5" s="24" t="s">
        <v>107</v>
      </c>
      <c r="J5" s="24"/>
      <c r="K5" s="24" t="s">
        <v>108</v>
      </c>
      <c r="L5" s="23" t="s">
        <v>88</v>
      </c>
      <c r="M5" s="23" t="s">
        <v>32</v>
      </c>
      <c r="N5" s="23">
        <v>2016</v>
      </c>
      <c r="O5" s="23" t="s">
        <v>49</v>
      </c>
      <c r="P5" s="23" t="s">
        <v>309</v>
      </c>
      <c r="Q5" s="24" t="s">
        <v>93</v>
      </c>
      <c r="R5" s="24" t="s">
        <v>44</v>
      </c>
      <c r="S5" s="16" t="s">
        <v>95</v>
      </c>
      <c r="T5" s="23">
        <v>12308280</v>
      </c>
      <c r="U5" s="21" t="s">
        <v>85</v>
      </c>
      <c r="V5" s="21" t="s">
        <v>13</v>
      </c>
      <c r="W5" s="28">
        <v>46097</v>
      </c>
      <c r="X5" s="25"/>
    </row>
    <row r="6" spans="1:24" ht="120" x14ac:dyDescent="0.25">
      <c r="A6" s="18" t="s">
        <v>260</v>
      </c>
      <c r="B6" s="23" t="s">
        <v>14</v>
      </c>
      <c r="C6" s="23" t="s">
        <v>14</v>
      </c>
      <c r="D6" s="24" t="s">
        <v>109</v>
      </c>
      <c r="E6" s="24"/>
      <c r="F6" s="24"/>
      <c r="G6" s="24"/>
      <c r="H6" s="23" t="s">
        <v>14</v>
      </c>
      <c r="I6" s="24" t="s">
        <v>110</v>
      </c>
      <c r="J6" s="24"/>
      <c r="K6" s="24" t="s">
        <v>111</v>
      </c>
      <c r="L6" s="23" t="s">
        <v>88</v>
      </c>
      <c r="M6" s="23" t="s">
        <v>32</v>
      </c>
      <c r="N6" s="23">
        <v>2016</v>
      </c>
      <c r="O6" s="23" t="s">
        <v>49</v>
      </c>
      <c r="P6" s="23" t="s">
        <v>309</v>
      </c>
      <c r="Q6" s="24" t="s">
        <v>93</v>
      </c>
      <c r="R6" s="24" t="s">
        <v>44</v>
      </c>
      <c r="S6" s="16" t="s">
        <v>95</v>
      </c>
      <c r="T6" s="23">
        <v>12308280</v>
      </c>
      <c r="U6" s="21" t="s">
        <v>85</v>
      </c>
      <c r="V6" s="21" t="s">
        <v>13</v>
      </c>
      <c r="W6" s="28">
        <v>46097</v>
      </c>
      <c r="X6" s="25"/>
    </row>
    <row r="7" spans="1:24" ht="150" x14ac:dyDescent="0.25">
      <c r="A7" s="18" t="s">
        <v>261</v>
      </c>
      <c r="B7" s="19" t="s">
        <v>14</v>
      </c>
      <c r="C7" s="19" t="s">
        <v>14</v>
      </c>
      <c r="D7" s="20" t="s">
        <v>112</v>
      </c>
      <c r="E7" s="20"/>
      <c r="F7" s="20"/>
      <c r="G7" s="24"/>
      <c r="H7" s="19" t="s">
        <v>14</v>
      </c>
      <c r="I7" s="20" t="s">
        <v>113</v>
      </c>
      <c r="J7" s="20"/>
      <c r="K7" s="20" t="s">
        <v>114</v>
      </c>
      <c r="L7" s="19" t="s">
        <v>88</v>
      </c>
      <c r="M7" s="19" t="s">
        <v>32</v>
      </c>
      <c r="N7" s="19">
        <v>2016</v>
      </c>
      <c r="O7" s="19" t="s">
        <v>49</v>
      </c>
      <c r="P7" s="19" t="s">
        <v>309</v>
      </c>
      <c r="Q7" s="20" t="s">
        <v>93</v>
      </c>
      <c r="R7" s="20" t="s">
        <v>44</v>
      </c>
      <c r="S7" s="15" t="s">
        <v>95</v>
      </c>
      <c r="T7" s="19">
        <v>12308280</v>
      </c>
      <c r="U7" s="21" t="s">
        <v>85</v>
      </c>
      <c r="V7" s="21" t="s">
        <v>13</v>
      </c>
      <c r="W7" s="27">
        <v>46097</v>
      </c>
      <c r="X7" s="22"/>
    </row>
    <row r="8" spans="1:24" ht="135" x14ac:dyDescent="0.25">
      <c r="A8" s="18" t="s">
        <v>262</v>
      </c>
      <c r="B8" s="19" t="s">
        <v>14</v>
      </c>
      <c r="C8" s="19" t="s">
        <v>14</v>
      </c>
      <c r="D8" s="20" t="s">
        <v>116</v>
      </c>
      <c r="E8" s="20"/>
      <c r="F8" s="20"/>
      <c r="G8" s="24"/>
      <c r="H8" s="19" t="s">
        <v>14</v>
      </c>
      <c r="I8" s="20" t="s">
        <v>117</v>
      </c>
      <c r="J8" s="20"/>
      <c r="K8" s="20" t="s">
        <v>118</v>
      </c>
      <c r="L8" s="19" t="s">
        <v>88</v>
      </c>
      <c r="M8" s="19" t="s">
        <v>32</v>
      </c>
      <c r="N8" s="19">
        <v>2016</v>
      </c>
      <c r="O8" s="19" t="s">
        <v>49</v>
      </c>
      <c r="P8" s="19" t="s">
        <v>309</v>
      </c>
      <c r="Q8" s="20" t="s">
        <v>93</v>
      </c>
      <c r="R8" s="20" t="s">
        <v>44</v>
      </c>
      <c r="S8" s="15" t="s">
        <v>95</v>
      </c>
      <c r="T8" s="19">
        <v>12308280</v>
      </c>
      <c r="U8" s="21" t="s">
        <v>85</v>
      </c>
      <c r="V8" s="21" t="s">
        <v>13</v>
      </c>
      <c r="W8" s="27">
        <v>46097</v>
      </c>
      <c r="X8" s="22"/>
    </row>
    <row r="9" spans="1:24" ht="180" x14ac:dyDescent="0.25">
      <c r="A9" s="18" t="s">
        <v>263</v>
      </c>
      <c r="B9" s="23" t="s">
        <v>14</v>
      </c>
      <c r="C9" s="23" t="s">
        <v>14</v>
      </c>
      <c r="D9" s="24" t="s">
        <v>119</v>
      </c>
      <c r="E9" s="24"/>
      <c r="F9" s="24"/>
      <c r="G9" s="24"/>
      <c r="H9" s="23" t="s">
        <v>14</v>
      </c>
      <c r="I9" s="24" t="s">
        <v>120</v>
      </c>
      <c r="J9" s="24"/>
      <c r="K9" s="24" t="s">
        <v>121</v>
      </c>
      <c r="L9" s="23" t="s">
        <v>88</v>
      </c>
      <c r="M9" s="23" t="s">
        <v>32</v>
      </c>
      <c r="N9" s="23">
        <v>2016</v>
      </c>
      <c r="O9" s="23" t="s">
        <v>49</v>
      </c>
      <c r="P9" s="23" t="s">
        <v>309</v>
      </c>
      <c r="Q9" s="24" t="s">
        <v>93</v>
      </c>
      <c r="R9" s="24" t="s">
        <v>44</v>
      </c>
      <c r="S9" s="16" t="s">
        <v>95</v>
      </c>
      <c r="T9" s="23">
        <v>12308280</v>
      </c>
      <c r="U9" s="21" t="s">
        <v>85</v>
      </c>
      <c r="V9" s="21" t="s">
        <v>13</v>
      </c>
      <c r="W9" s="28">
        <v>46097</v>
      </c>
      <c r="X9" s="25"/>
    </row>
    <row r="10" spans="1:24" ht="60" x14ac:dyDescent="0.25">
      <c r="A10" s="18" t="s">
        <v>264</v>
      </c>
      <c r="B10" s="19" t="s">
        <v>33</v>
      </c>
      <c r="C10" s="19" t="s">
        <v>8</v>
      </c>
      <c r="D10" s="20" t="s">
        <v>122</v>
      </c>
      <c r="E10" s="20"/>
      <c r="F10" s="20"/>
      <c r="G10" s="24"/>
      <c r="H10" s="19" t="s">
        <v>14</v>
      </c>
      <c r="I10" s="20" t="s">
        <v>123</v>
      </c>
      <c r="J10" s="20"/>
      <c r="K10" s="20" t="s">
        <v>124</v>
      </c>
      <c r="L10" s="19"/>
      <c r="M10" s="19" t="s">
        <v>32</v>
      </c>
      <c r="N10" s="19">
        <v>2016</v>
      </c>
      <c r="O10" s="19" t="s">
        <v>49</v>
      </c>
      <c r="P10" s="19" t="s">
        <v>309</v>
      </c>
      <c r="Q10" s="20" t="s">
        <v>125</v>
      </c>
      <c r="R10" s="20" t="s">
        <v>44</v>
      </c>
      <c r="S10" s="15" t="s">
        <v>95</v>
      </c>
      <c r="T10" s="19">
        <v>12308280</v>
      </c>
      <c r="U10" s="21" t="s">
        <v>85</v>
      </c>
      <c r="V10" s="21" t="s">
        <v>13</v>
      </c>
      <c r="W10" s="27">
        <v>46097</v>
      </c>
      <c r="X10" s="22"/>
    </row>
    <row r="11" spans="1:24" ht="180" x14ac:dyDescent="0.25">
      <c r="A11" s="18" t="s">
        <v>265</v>
      </c>
      <c r="B11" s="19" t="s">
        <v>11</v>
      </c>
      <c r="C11" s="19" t="s">
        <v>12</v>
      </c>
      <c r="D11" s="20" t="s">
        <v>126</v>
      </c>
      <c r="E11" s="20"/>
      <c r="F11" s="20"/>
      <c r="G11" s="24"/>
      <c r="H11" s="19" t="s">
        <v>12</v>
      </c>
      <c r="I11" s="20" t="s">
        <v>127</v>
      </c>
      <c r="J11" s="20"/>
      <c r="K11" s="20" t="s">
        <v>128</v>
      </c>
      <c r="L11" s="19" t="s">
        <v>88</v>
      </c>
      <c r="M11" s="19" t="s">
        <v>32</v>
      </c>
      <c r="N11" s="19">
        <v>2016</v>
      </c>
      <c r="O11" s="19" t="s">
        <v>49</v>
      </c>
      <c r="P11" s="19" t="s">
        <v>309</v>
      </c>
      <c r="Q11" s="20" t="s">
        <v>129</v>
      </c>
      <c r="R11" s="20" t="s">
        <v>44</v>
      </c>
      <c r="S11" s="15" t="s">
        <v>95</v>
      </c>
      <c r="T11" s="19">
        <v>12308280</v>
      </c>
      <c r="U11" s="21" t="s">
        <v>85</v>
      </c>
      <c r="V11" s="21" t="s">
        <v>13</v>
      </c>
      <c r="W11" s="27">
        <v>46097</v>
      </c>
      <c r="X11" s="22"/>
    </row>
    <row r="12" spans="1:24" ht="390" x14ac:dyDescent="0.25">
      <c r="A12" s="30" t="s">
        <v>266</v>
      </c>
      <c r="B12" s="23" t="s">
        <v>14</v>
      </c>
      <c r="C12" s="23" t="s">
        <v>14</v>
      </c>
      <c r="D12" s="24" t="s">
        <v>130</v>
      </c>
      <c r="E12" s="24"/>
      <c r="F12" s="24"/>
      <c r="G12" s="24"/>
      <c r="H12" s="23" t="s">
        <v>14</v>
      </c>
      <c r="I12" s="24" t="s">
        <v>131</v>
      </c>
      <c r="J12" s="24"/>
      <c r="K12" s="24" t="s">
        <v>132</v>
      </c>
      <c r="L12" s="23" t="s">
        <v>88</v>
      </c>
      <c r="M12" s="23" t="s">
        <v>32</v>
      </c>
      <c r="N12" s="23">
        <v>2016</v>
      </c>
      <c r="O12" s="23" t="s">
        <v>49</v>
      </c>
      <c r="P12" s="23" t="s">
        <v>309</v>
      </c>
      <c r="Q12" s="24" t="s">
        <v>115</v>
      </c>
      <c r="R12" s="24" t="s">
        <v>44</v>
      </c>
      <c r="S12" s="16" t="s">
        <v>95</v>
      </c>
      <c r="T12" s="23">
        <v>12308280</v>
      </c>
      <c r="U12" s="21" t="s">
        <v>85</v>
      </c>
      <c r="V12" s="21" t="s">
        <v>13</v>
      </c>
      <c r="W12" s="28">
        <v>46097</v>
      </c>
      <c r="X12" s="31" t="s">
        <v>305</v>
      </c>
    </row>
    <row r="13" spans="1:24" ht="165" x14ac:dyDescent="0.25">
      <c r="A13" s="30" t="s">
        <v>267</v>
      </c>
      <c r="B13" s="19" t="s">
        <v>14</v>
      </c>
      <c r="C13" s="19" t="s">
        <v>14</v>
      </c>
      <c r="D13" s="20" t="s">
        <v>133</v>
      </c>
      <c r="E13" s="20"/>
      <c r="F13" s="20"/>
      <c r="G13" s="24"/>
      <c r="H13" s="19" t="s">
        <v>14</v>
      </c>
      <c r="I13" s="20" t="s">
        <v>134</v>
      </c>
      <c r="J13" s="20"/>
      <c r="K13" s="20" t="s">
        <v>135</v>
      </c>
      <c r="L13" s="19" t="s">
        <v>88</v>
      </c>
      <c r="M13" s="19" t="s">
        <v>32</v>
      </c>
      <c r="N13" s="19">
        <v>2016</v>
      </c>
      <c r="O13" s="19" t="s">
        <v>49</v>
      </c>
      <c r="P13" s="19" t="s">
        <v>309</v>
      </c>
      <c r="Q13" s="20" t="s">
        <v>93</v>
      </c>
      <c r="R13" s="20" t="s">
        <v>44</v>
      </c>
      <c r="S13" s="15" t="s">
        <v>95</v>
      </c>
      <c r="T13" s="19">
        <v>12308280</v>
      </c>
      <c r="U13" s="21" t="s">
        <v>85</v>
      </c>
      <c r="V13" s="21" t="s">
        <v>13</v>
      </c>
      <c r="W13" s="27">
        <v>46097</v>
      </c>
      <c r="X13" s="31" t="s">
        <v>306</v>
      </c>
    </row>
    <row r="14" spans="1:24" ht="409.5" x14ac:dyDescent="0.25">
      <c r="A14" s="18" t="s">
        <v>268</v>
      </c>
      <c r="B14" s="23" t="s">
        <v>33</v>
      </c>
      <c r="C14" s="23" t="s">
        <v>9</v>
      </c>
      <c r="D14" s="24" t="s">
        <v>137</v>
      </c>
      <c r="E14" s="24" t="s">
        <v>138</v>
      </c>
      <c r="F14" s="24"/>
      <c r="G14" s="24"/>
      <c r="H14" s="23" t="s">
        <v>9</v>
      </c>
      <c r="I14" s="24" t="s">
        <v>139</v>
      </c>
      <c r="J14" s="24"/>
      <c r="K14" s="24" t="s">
        <v>140</v>
      </c>
      <c r="L14" s="23"/>
      <c r="M14" s="23" t="s">
        <v>32</v>
      </c>
      <c r="N14" s="23">
        <v>2016</v>
      </c>
      <c r="O14" s="23" t="s">
        <v>49</v>
      </c>
      <c r="P14" s="23" t="s">
        <v>309</v>
      </c>
      <c r="Q14" s="24" t="s">
        <v>141</v>
      </c>
      <c r="R14" s="24" t="s">
        <v>44</v>
      </c>
      <c r="S14" s="16" t="s">
        <v>95</v>
      </c>
      <c r="T14" s="23">
        <v>12308280</v>
      </c>
      <c r="U14" s="21" t="s">
        <v>85</v>
      </c>
      <c r="V14" s="21" t="s">
        <v>13</v>
      </c>
      <c r="W14" s="28">
        <v>46097</v>
      </c>
      <c r="X14" s="25"/>
    </row>
    <row r="15" spans="1:24" ht="60" x14ac:dyDescent="0.25">
      <c r="A15" s="18" t="s">
        <v>269</v>
      </c>
      <c r="B15" s="19" t="s">
        <v>33</v>
      </c>
      <c r="C15" s="19" t="s">
        <v>5</v>
      </c>
      <c r="D15" s="20" t="s">
        <v>142</v>
      </c>
      <c r="E15" s="20" t="s">
        <v>143</v>
      </c>
      <c r="F15" s="20"/>
      <c r="G15" s="24"/>
      <c r="H15" s="19" t="s">
        <v>5</v>
      </c>
      <c r="I15" s="20" t="s">
        <v>84</v>
      </c>
      <c r="J15" s="20"/>
      <c r="K15" s="20" t="s">
        <v>86</v>
      </c>
      <c r="L15" s="19"/>
      <c r="M15" s="19" t="s">
        <v>32</v>
      </c>
      <c r="N15" s="19">
        <v>2016</v>
      </c>
      <c r="O15" s="19" t="s">
        <v>49</v>
      </c>
      <c r="P15" s="19" t="s">
        <v>309</v>
      </c>
      <c r="Q15" s="20" t="s">
        <v>93</v>
      </c>
      <c r="R15" s="20" t="s">
        <v>44</v>
      </c>
      <c r="S15" s="15" t="s">
        <v>95</v>
      </c>
      <c r="T15" s="19">
        <v>12308280</v>
      </c>
      <c r="U15" s="21" t="s">
        <v>85</v>
      </c>
      <c r="V15" s="21" t="s">
        <v>13</v>
      </c>
      <c r="W15" s="27">
        <v>46097</v>
      </c>
      <c r="X15" s="22"/>
    </row>
    <row r="16" spans="1:24" ht="150" x14ac:dyDescent="0.25">
      <c r="A16" s="18" t="s">
        <v>270</v>
      </c>
      <c r="B16" s="23" t="s">
        <v>33</v>
      </c>
      <c r="C16" s="23" t="s">
        <v>5</v>
      </c>
      <c r="D16" s="24" t="s">
        <v>144</v>
      </c>
      <c r="E16" s="24" t="s">
        <v>143</v>
      </c>
      <c r="F16" s="24"/>
      <c r="G16" s="24"/>
      <c r="H16" s="23" t="s">
        <v>5</v>
      </c>
      <c r="I16" s="24" t="s">
        <v>84</v>
      </c>
      <c r="J16" s="24"/>
      <c r="K16" s="24" t="s">
        <v>86</v>
      </c>
      <c r="L16" s="23"/>
      <c r="M16" s="23" t="s">
        <v>32</v>
      </c>
      <c r="N16" s="23">
        <v>2016</v>
      </c>
      <c r="O16" s="23" t="s">
        <v>49</v>
      </c>
      <c r="P16" s="23" t="s">
        <v>309</v>
      </c>
      <c r="Q16" s="24" t="s">
        <v>93</v>
      </c>
      <c r="R16" s="24" t="s">
        <v>44</v>
      </c>
      <c r="S16" s="16" t="s">
        <v>95</v>
      </c>
      <c r="T16" s="23">
        <v>12308280</v>
      </c>
      <c r="U16" s="21" t="s">
        <v>85</v>
      </c>
      <c r="V16" s="21" t="s">
        <v>13</v>
      </c>
      <c r="W16" s="28">
        <v>46097</v>
      </c>
      <c r="X16" s="25"/>
    </row>
    <row r="17" spans="1:24" ht="409.5" x14ac:dyDescent="0.25">
      <c r="A17" s="18" t="s">
        <v>271</v>
      </c>
      <c r="B17" s="19" t="s">
        <v>11</v>
      </c>
      <c r="C17" s="19" t="s">
        <v>12</v>
      </c>
      <c r="D17" s="20" t="s">
        <v>145</v>
      </c>
      <c r="E17" s="20"/>
      <c r="F17" s="20"/>
      <c r="G17" s="24"/>
      <c r="H17" s="19" t="s">
        <v>12</v>
      </c>
      <c r="I17" s="20" t="s">
        <v>146</v>
      </c>
      <c r="J17" s="20"/>
      <c r="K17" s="20" t="s">
        <v>147</v>
      </c>
      <c r="L17" s="19" t="s">
        <v>88</v>
      </c>
      <c r="M17" s="19" t="s">
        <v>32</v>
      </c>
      <c r="N17" s="19">
        <v>2016</v>
      </c>
      <c r="O17" s="19" t="s">
        <v>49</v>
      </c>
      <c r="P17" s="19" t="s">
        <v>309</v>
      </c>
      <c r="Q17" s="20" t="s">
        <v>148</v>
      </c>
      <c r="R17" s="20" t="s">
        <v>44</v>
      </c>
      <c r="S17" s="15" t="s">
        <v>95</v>
      </c>
      <c r="T17" s="19">
        <v>12308280</v>
      </c>
      <c r="U17" s="21" t="s">
        <v>85</v>
      </c>
      <c r="V17" s="21" t="s">
        <v>13</v>
      </c>
      <c r="W17" s="27">
        <v>46097</v>
      </c>
      <c r="X17" s="22"/>
    </row>
    <row r="18" spans="1:24" ht="409.5" x14ac:dyDescent="0.25">
      <c r="A18" s="18" t="s">
        <v>272</v>
      </c>
      <c r="B18" s="23" t="s">
        <v>14</v>
      </c>
      <c r="C18" s="23" t="s">
        <v>14</v>
      </c>
      <c r="D18" s="24" t="s">
        <v>150</v>
      </c>
      <c r="E18" s="24"/>
      <c r="F18" s="24" t="s">
        <v>151</v>
      </c>
      <c r="G18" s="24"/>
      <c r="H18" s="23" t="s">
        <v>14</v>
      </c>
      <c r="I18" s="24" t="s">
        <v>152</v>
      </c>
      <c r="J18" s="24"/>
      <c r="K18" s="24" t="s">
        <v>153</v>
      </c>
      <c r="L18" s="23" t="s">
        <v>88</v>
      </c>
      <c r="M18" s="23" t="s">
        <v>32</v>
      </c>
      <c r="N18" s="23">
        <v>2016</v>
      </c>
      <c r="O18" s="23" t="s">
        <v>49</v>
      </c>
      <c r="P18" s="23" t="s">
        <v>309</v>
      </c>
      <c r="Q18" s="24" t="s">
        <v>136</v>
      </c>
      <c r="R18" s="24" t="s">
        <v>44</v>
      </c>
      <c r="S18" s="16" t="s">
        <v>95</v>
      </c>
      <c r="T18" s="23">
        <v>12308280</v>
      </c>
      <c r="U18" s="21" t="s">
        <v>85</v>
      </c>
      <c r="V18" s="21" t="s">
        <v>13</v>
      </c>
      <c r="W18" s="28">
        <v>46097</v>
      </c>
      <c r="X18" s="25"/>
    </row>
    <row r="19" spans="1:24" ht="409.5" x14ac:dyDescent="0.25">
      <c r="A19" s="18" t="s">
        <v>273</v>
      </c>
      <c r="B19" s="19" t="s">
        <v>14</v>
      </c>
      <c r="C19" s="19" t="s">
        <v>14</v>
      </c>
      <c r="D19" s="20" t="s">
        <v>154</v>
      </c>
      <c r="E19" s="20"/>
      <c r="F19" s="20" t="s">
        <v>149</v>
      </c>
      <c r="G19" s="24"/>
      <c r="H19" s="19" t="s">
        <v>14</v>
      </c>
      <c r="I19" s="20" t="s">
        <v>155</v>
      </c>
      <c r="J19" s="20"/>
      <c r="K19" s="20" t="s">
        <v>156</v>
      </c>
      <c r="L19" s="19" t="s">
        <v>88</v>
      </c>
      <c r="M19" s="19" t="s">
        <v>32</v>
      </c>
      <c r="N19" s="19">
        <v>2016</v>
      </c>
      <c r="O19" s="19" t="s">
        <v>49</v>
      </c>
      <c r="P19" s="19" t="s">
        <v>309</v>
      </c>
      <c r="Q19" s="20" t="s">
        <v>115</v>
      </c>
      <c r="R19" s="20" t="s">
        <v>44</v>
      </c>
      <c r="S19" s="15" t="s">
        <v>95</v>
      </c>
      <c r="T19" s="19">
        <v>12308280</v>
      </c>
      <c r="U19" s="21" t="s">
        <v>85</v>
      </c>
      <c r="V19" s="21" t="s">
        <v>13</v>
      </c>
      <c r="W19" s="27">
        <v>46097</v>
      </c>
      <c r="X19" s="22"/>
    </row>
    <row r="20" spans="1:24" ht="180" x14ac:dyDescent="0.25">
      <c r="A20" s="18" t="s">
        <v>274</v>
      </c>
      <c r="B20" s="23" t="s">
        <v>33</v>
      </c>
      <c r="C20" s="23" t="s">
        <v>8</v>
      </c>
      <c r="D20" s="24" t="s">
        <v>157</v>
      </c>
      <c r="E20" s="24"/>
      <c r="F20" s="24"/>
      <c r="G20" s="24"/>
      <c r="H20" s="23" t="s">
        <v>8</v>
      </c>
      <c r="I20" s="24" t="s">
        <v>158</v>
      </c>
      <c r="J20" s="24"/>
      <c r="K20" s="24" t="s">
        <v>159</v>
      </c>
      <c r="L20" s="23"/>
      <c r="M20" s="23" t="s">
        <v>32</v>
      </c>
      <c r="N20" s="23">
        <v>2016</v>
      </c>
      <c r="O20" s="23" t="s">
        <v>49</v>
      </c>
      <c r="P20" s="23" t="s">
        <v>309</v>
      </c>
      <c r="Q20" s="24" t="s">
        <v>125</v>
      </c>
      <c r="R20" s="24" t="s">
        <v>44</v>
      </c>
      <c r="S20" s="16" t="s">
        <v>95</v>
      </c>
      <c r="T20" s="23">
        <v>12308280</v>
      </c>
      <c r="U20" s="21" t="s">
        <v>85</v>
      </c>
      <c r="V20" s="21" t="s">
        <v>13</v>
      </c>
      <c r="W20" s="28">
        <v>46097</v>
      </c>
      <c r="X20" s="25"/>
    </row>
    <row r="21" spans="1:24" ht="150" x14ac:dyDescent="0.25">
      <c r="A21" s="18" t="s">
        <v>275</v>
      </c>
      <c r="B21" s="19" t="s">
        <v>33</v>
      </c>
      <c r="C21" s="19" t="s">
        <v>8</v>
      </c>
      <c r="D21" s="20" t="s">
        <v>160</v>
      </c>
      <c r="E21" s="20"/>
      <c r="F21" s="20"/>
      <c r="G21" s="24"/>
      <c r="H21" s="19" t="s">
        <v>8</v>
      </c>
      <c r="I21" s="20" t="s">
        <v>161</v>
      </c>
      <c r="J21" s="20"/>
      <c r="K21" s="20" t="s">
        <v>159</v>
      </c>
      <c r="L21" s="19"/>
      <c r="M21" s="19" t="s">
        <v>32</v>
      </c>
      <c r="N21" s="19">
        <v>2016</v>
      </c>
      <c r="O21" s="19" t="s">
        <v>49</v>
      </c>
      <c r="P21" s="19" t="s">
        <v>309</v>
      </c>
      <c r="Q21" s="20" t="s">
        <v>125</v>
      </c>
      <c r="R21" s="20" t="s">
        <v>44</v>
      </c>
      <c r="S21" s="15" t="s">
        <v>95</v>
      </c>
      <c r="T21" s="19">
        <v>12308280</v>
      </c>
      <c r="U21" s="21" t="s">
        <v>85</v>
      </c>
      <c r="V21" s="21" t="s">
        <v>13</v>
      </c>
      <c r="W21" s="27">
        <v>46097</v>
      </c>
      <c r="X21" s="22"/>
    </row>
    <row r="22" spans="1:24" ht="150" x14ac:dyDescent="0.25">
      <c r="A22" s="18" t="s">
        <v>276</v>
      </c>
      <c r="B22" s="23" t="s">
        <v>33</v>
      </c>
      <c r="C22" s="23" t="s">
        <v>8</v>
      </c>
      <c r="D22" s="24" t="s">
        <v>162</v>
      </c>
      <c r="E22" s="24"/>
      <c r="F22" s="24"/>
      <c r="G22" s="24"/>
      <c r="H22" s="23" t="s">
        <v>8</v>
      </c>
      <c r="I22" s="24" t="s">
        <v>163</v>
      </c>
      <c r="J22" s="24"/>
      <c r="K22" s="24" t="s">
        <v>159</v>
      </c>
      <c r="L22" s="23"/>
      <c r="M22" s="23" t="s">
        <v>32</v>
      </c>
      <c r="N22" s="23">
        <v>2016</v>
      </c>
      <c r="O22" s="23" t="s">
        <v>49</v>
      </c>
      <c r="P22" s="23" t="s">
        <v>309</v>
      </c>
      <c r="Q22" s="24" t="s">
        <v>125</v>
      </c>
      <c r="R22" s="24" t="s">
        <v>44</v>
      </c>
      <c r="S22" s="16" t="s">
        <v>95</v>
      </c>
      <c r="T22" s="23">
        <v>12308280</v>
      </c>
      <c r="U22" s="21" t="s">
        <v>85</v>
      </c>
      <c r="V22" s="21" t="s">
        <v>13</v>
      </c>
      <c r="W22" s="28">
        <v>46097</v>
      </c>
      <c r="X22" s="25"/>
    </row>
    <row r="23" spans="1:24" ht="225" x14ac:dyDescent="0.25">
      <c r="A23" s="18" t="s">
        <v>277</v>
      </c>
      <c r="B23" s="19" t="s">
        <v>33</v>
      </c>
      <c r="C23" s="19" t="s">
        <v>8</v>
      </c>
      <c r="D23" s="20" t="s">
        <v>164</v>
      </c>
      <c r="E23" s="20"/>
      <c r="F23" s="20"/>
      <c r="G23" s="24"/>
      <c r="H23" s="19" t="s">
        <v>8</v>
      </c>
      <c r="I23" s="20" t="s">
        <v>165</v>
      </c>
      <c r="J23" s="20"/>
      <c r="K23" s="20" t="s">
        <v>159</v>
      </c>
      <c r="L23" s="19"/>
      <c r="M23" s="19" t="s">
        <v>32</v>
      </c>
      <c r="N23" s="19">
        <v>2016</v>
      </c>
      <c r="O23" s="19" t="s">
        <v>49</v>
      </c>
      <c r="P23" s="19" t="s">
        <v>309</v>
      </c>
      <c r="Q23" s="20" t="s">
        <v>125</v>
      </c>
      <c r="R23" s="20" t="s">
        <v>44</v>
      </c>
      <c r="S23" s="15" t="s">
        <v>95</v>
      </c>
      <c r="T23" s="19">
        <v>12308280</v>
      </c>
      <c r="U23" s="21" t="s">
        <v>85</v>
      </c>
      <c r="V23" s="21" t="s">
        <v>13</v>
      </c>
      <c r="W23" s="27">
        <v>46097</v>
      </c>
      <c r="X23" s="22"/>
    </row>
    <row r="24" spans="1:24" ht="315" x14ac:dyDescent="0.25">
      <c r="A24" s="18" t="s">
        <v>278</v>
      </c>
      <c r="B24" s="23" t="s">
        <v>33</v>
      </c>
      <c r="C24" s="23" t="s">
        <v>8</v>
      </c>
      <c r="D24" s="24" t="s">
        <v>166</v>
      </c>
      <c r="E24" s="24"/>
      <c r="F24" s="24"/>
      <c r="G24" s="24"/>
      <c r="H24" s="23" t="s">
        <v>8</v>
      </c>
      <c r="I24" s="24" t="s">
        <v>167</v>
      </c>
      <c r="J24" s="24"/>
      <c r="K24" s="24" t="s">
        <v>168</v>
      </c>
      <c r="L24" s="23" t="s">
        <v>88</v>
      </c>
      <c r="M24" s="23" t="s">
        <v>32</v>
      </c>
      <c r="N24" s="23">
        <v>2016</v>
      </c>
      <c r="O24" s="23" t="s">
        <v>49</v>
      </c>
      <c r="P24" s="23" t="s">
        <v>309</v>
      </c>
      <c r="Q24" s="24" t="s">
        <v>115</v>
      </c>
      <c r="R24" s="24" t="s">
        <v>44</v>
      </c>
      <c r="S24" s="16" t="s">
        <v>95</v>
      </c>
      <c r="T24" s="23">
        <v>12308280</v>
      </c>
      <c r="U24" s="21" t="s">
        <v>85</v>
      </c>
      <c r="V24" s="21" t="s">
        <v>13</v>
      </c>
      <c r="W24" s="28">
        <v>46097</v>
      </c>
      <c r="X24" s="25"/>
    </row>
    <row r="25" spans="1:24" ht="195" x14ac:dyDescent="0.25">
      <c r="A25" s="18" t="s">
        <v>279</v>
      </c>
      <c r="B25" s="23" t="s">
        <v>11</v>
      </c>
      <c r="C25" s="23" t="s">
        <v>12</v>
      </c>
      <c r="D25" s="24" t="s">
        <v>169</v>
      </c>
      <c r="E25" s="24"/>
      <c r="F25" s="24"/>
      <c r="G25" s="24"/>
      <c r="H25" s="23" t="s">
        <v>12</v>
      </c>
      <c r="I25" s="24" t="s">
        <v>170</v>
      </c>
      <c r="J25" s="24"/>
      <c r="K25" s="24" t="s">
        <v>171</v>
      </c>
      <c r="L25" s="23" t="s">
        <v>88</v>
      </c>
      <c r="M25" s="23" t="s">
        <v>32</v>
      </c>
      <c r="N25" s="23">
        <v>2016</v>
      </c>
      <c r="O25" s="23" t="s">
        <v>49</v>
      </c>
      <c r="P25" s="23" t="s">
        <v>309</v>
      </c>
      <c r="Q25" s="24" t="s">
        <v>172</v>
      </c>
      <c r="R25" s="24" t="s">
        <v>44</v>
      </c>
      <c r="S25" s="16" t="s">
        <v>95</v>
      </c>
      <c r="T25" s="23">
        <v>12308280</v>
      </c>
      <c r="U25" s="21" t="s">
        <v>85</v>
      </c>
      <c r="V25" s="21" t="s">
        <v>13</v>
      </c>
      <c r="W25" s="28">
        <v>46097</v>
      </c>
      <c r="X25" s="25"/>
    </row>
    <row r="26" spans="1:24" ht="360" x14ac:dyDescent="0.25">
      <c r="A26" s="18" t="s">
        <v>280</v>
      </c>
      <c r="B26" s="19" t="s">
        <v>14</v>
      </c>
      <c r="C26" s="19" t="s">
        <v>14</v>
      </c>
      <c r="D26" s="20" t="s">
        <v>173</v>
      </c>
      <c r="E26" s="20"/>
      <c r="F26" s="20"/>
      <c r="G26" s="24" t="s">
        <v>312</v>
      </c>
      <c r="H26" s="19" t="s">
        <v>14</v>
      </c>
      <c r="I26" s="20" t="s">
        <v>174</v>
      </c>
      <c r="J26" s="20"/>
      <c r="K26" s="20" t="s">
        <v>175</v>
      </c>
      <c r="L26" s="19" t="s">
        <v>88</v>
      </c>
      <c r="M26" s="19" t="s">
        <v>32</v>
      </c>
      <c r="N26" s="19">
        <v>2016</v>
      </c>
      <c r="O26" s="19" t="s">
        <v>49</v>
      </c>
      <c r="P26" s="19" t="s">
        <v>309</v>
      </c>
      <c r="Q26" s="20" t="s">
        <v>115</v>
      </c>
      <c r="R26" s="20" t="s">
        <v>44</v>
      </c>
      <c r="S26" s="15" t="s">
        <v>95</v>
      </c>
      <c r="T26" s="19">
        <v>12308280</v>
      </c>
      <c r="U26" s="21" t="s">
        <v>85</v>
      </c>
      <c r="V26" s="21" t="s">
        <v>13</v>
      </c>
      <c r="W26" s="27">
        <v>46097</v>
      </c>
      <c r="X26" s="22"/>
    </row>
    <row r="27" spans="1:24" ht="405" x14ac:dyDescent="0.25">
      <c r="A27" s="18" t="s">
        <v>281</v>
      </c>
      <c r="B27" s="23" t="s">
        <v>14</v>
      </c>
      <c r="C27" s="23" t="s">
        <v>14</v>
      </c>
      <c r="D27" s="24" t="s">
        <v>176</v>
      </c>
      <c r="E27" s="24"/>
      <c r="F27" s="24"/>
      <c r="G27" s="24"/>
      <c r="H27" s="23" t="s">
        <v>14</v>
      </c>
      <c r="I27" s="24" t="s">
        <v>310</v>
      </c>
      <c r="J27" s="24"/>
      <c r="K27" s="24" t="s">
        <v>177</v>
      </c>
      <c r="L27" s="23" t="s">
        <v>88</v>
      </c>
      <c r="M27" s="23" t="s">
        <v>32</v>
      </c>
      <c r="N27" s="23">
        <v>2016</v>
      </c>
      <c r="O27" s="23" t="s">
        <v>49</v>
      </c>
      <c r="P27" s="23" t="s">
        <v>309</v>
      </c>
      <c r="Q27" s="24" t="s">
        <v>172</v>
      </c>
      <c r="R27" s="24" t="s">
        <v>44</v>
      </c>
      <c r="S27" s="16" t="s">
        <v>95</v>
      </c>
      <c r="T27" s="23">
        <v>12308280</v>
      </c>
      <c r="U27" s="21" t="s">
        <v>85</v>
      </c>
      <c r="V27" s="21" t="s">
        <v>13</v>
      </c>
      <c r="W27" s="28">
        <v>46097</v>
      </c>
      <c r="X27" s="25"/>
    </row>
    <row r="28" spans="1:24" ht="180" x14ac:dyDescent="0.25">
      <c r="A28" s="18" t="s">
        <v>282</v>
      </c>
      <c r="B28" s="19" t="s">
        <v>14</v>
      </c>
      <c r="C28" s="19" t="s">
        <v>14</v>
      </c>
      <c r="D28" s="20" t="s">
        <v>178</v>
      </c>
      <c r="E28" s="20"/>
      <c r="F28" s="20"/>
      <c r="G28" s="24"/>
      <c r="H28" s="19" t="s">
        <v>14</v>
      </c>
      <c r="I28" s="20" t="s">
        <v>179</v>
      </c>
      <c r="J28" s="20"/>
      <c r="K28" s="20" t="s">
        <v>87</v>
      </c>
      <c r="L28" s="19" t="s">
        <v>88</v>
      </c>
      <c r="M28" s="19" t="s">
        <v>32</v>
      </c>
      <c r="N28" s="19">
        <v>2016</v>
      </c>
      <c r="O28" s="19" t="s">
        <v>49</v>
      </c>
      <c r="P28" s="19" t="s">
        <v>309</v>
      </c>
      <c r="Q28" s="20" t="s">
        <v>93</v>
      </c>
      <c r="R28" s="20" t="s">
        <v>44</v>
      </c>
      <c r="S28" s="15" t="s">
        <v>95</v>
      </c>
      <c r="T28" s="19">
        <v>12308280</v>
      </c>
      <c r="U28" s="21" t="s">
        <v>85</v>
      </c>
      <c r="V28" s="21" t="s">
        <v>13</v>
      </c>
      <c r="W28" s="27">
        <v>46097</v>
      </c>
      <c r="X28" s="22"/>
    </row>
    <row r="29" spans="1:24" ht="225" x14ac:dyDescent="0.25">
      <c r="A29" s="18" t="s">
        <v>283</v>
      </c>
      <c r="B29" s="23" t="s">
        <v>14</v>
      </c>
      <c r="C29" s="23" t="s">
        <v>14</v>
      </c>
      <c r="D29" s="24" t="s">
        <v>181</v>
      </c>
      <c r="E29" s="24"/>
      <c r="F29" s="24"/>
      <c r="G29" s="24"/>
      <c r="H29" s="23" t="s">
        <v>14</v>
      </c>
      <c r="I29" s="24" t="s">
        <v>311</v>
      </c>
      <c r="J29" s="24"/>
      <c r="K29" s="24" t="s">
        <v>180</v>
      </c>
      <c r="L29" s="23" t="s">
        <v>88</v>
      </c>
      <c r="M29" s="23" t="s">
        <v>32</v>
      </c>
      <c r="N29" s="23">
        <v>2016</v>
      </c>
      <c r="O29" s="23" t="s">
        <v>49</v>
      </c>
      <c r="P29" s="23" t="s">
        <v>309</v>
      </c>
      <c r="Q29" s="24" t="s">
        <v>115</v>
      </c>
      <c r="R29" s="24" t="s">
        <v>44</v>
      </c>
      <c r="S29" s="16" t="s">
        <v>95</v>
      </c>
      <c r="T29" s="23">
        <v>12308280</v>
      </c>
      <c r="U29" s="21" t="s">
        <v>85</v>
      </c>
      <c r="V29" s="21" t="s">
        <v>13</v>
      </c>
      <c r="W29" s="28">
        <v>46097</v>
      </c>
      <c r="X29" s="25"/>
    </row>
    <row r="30" spans="1:24" ht="409.5" x14ac:dyDescent="0.25">
      <c r="A30" s="18" t="s">
        <v>284</v>
      </c>
      <c r="B30" s="23" t="s">
        <v>14</v>
      </c>
      <c r="C30" s="23" t="s">
        <v>14</v>
      </c>
      <c r="D30" s="24" t="s">
        <v>182</v>
      </c>
      <c r="E30" s="24"/>
      <c r="F30" s="24" t="s">
        <v>103</v>
      </c>
      <c r="G30" s="24" t="s">
        <v>313</v>
      </c>
      <c r="H30" s="23" t="s">
        <v>14</v>
      </c>
      <c r="I30" s="24" t="s">
        <v>183</v>
      </c>
      <c r="J30" s="24"/>
      <c r="K30" s="24" t="s">
        <v>184</v>
      </c>
      <c r="L30" s="23" t="s">
        <v>88</v>
      </c>
      <c r="M30" s="23" t="s">
        <v>32</v>
      </c>
      <c r="N30" s="23">
        <v>2016</v>
      </c>
      <c r="O30" s="23" t="s">
        <v>49</v>
      </c>
      <c r="P30" s="23" t="s">
        <v>309</v>
      </c>
      <c r="Q30" s="24" t="s">
        <v>172</v>
      </c>
      <c r="R30" s="24" t="s">
        <v>44</v>
      </c>
      <c r="S30" s="16" t="s">
        <v>95</v>
      </c>
      <c r="T30" s="23">
        <v>12308280</v>
      </c>
      <c r="U30" s="21" t="s">
        <v>85</v>
      </c>
      <c r="V30" s="21" t="s">
        <v>13</v>
      </c>
      <c r="W30" s="28">
        <v>46097</v>
      </c>
      <c r="X30" s="25"/>
    </row>
    <row r="31" spans="1:24" ht="409.5" x14ac:dyDescent="0.25">
      <c r="A31" s="18" t="s">
        <v>285</v>
      </c>
      <c r="B31" s="19" t="s">
        <v>14</v>
      </c>
      <c r="C31" s="19" t="s">
        <v>14</v>
      </c>
      <c r="D31" s="20" t="s">
        <v>185</v>
      </c>
      <c r="E31" s="20"/>
      <c r="F31" s="20"/>
      <c r="G31" s="24"/>
      <c r="H31" s="19" t="s">
        <v>14</v>
      </c>
      <c r="I31" s="20" t="s">
        <v>186</v>
      </c>
      <c r="J31" s="20"/>
      <c r="K31" s="20" t="s">
        <v>187</v>
      </c>
      <c r="L31" s="19" t="s">
        <v>88</v>
      </c>
      <c r="M31" s="19" t="s">
        <v>32</v>
      </c>
      <c r="N31" s="19">
        <v>2016</v>
      </c>
      <c r="O31" s="19" t="s">
        <v>49</v>
      </c>
      <c r="P31" s="19" t="s">
        <v>309</v>
      </c>
      <c r="Q31" s="20" t="s">
        <v>172</v>
      </c>
      <c r="R31" s="20" t="s">
        <v>44</v>
      </c>
      <c r="S31" s="15" t="s">
        <v>95</v>
      </c>
      <c r="T31" s="19">
        <v>12308280</v>
      </c>
      <c r="U31" s="21" t="s">
        <v>85</v>
      </c>
      <c r="V31" s="21" t="s">
        <v>13</v>
      </c>
      <c r="W31" s="27">
        <v>46097</v>
      </c>
      <c r="X31" s="22"/>
    </row>
    <row r="32" spans="1:24" ht="409.5" x14ac:dyDescent="0.25">
      <c r="A32" s="18" t="s">
        <v>286</v>
      </c>
      <c r="B32" s="23" t="s">
        <v>14</v>
      </c>
      <c r="C32" s="23" t="s">
        <v>14</v>
      </c>
      <c r="D32" s="24" t="s">
        <v>188</v>
      </c>
      <c r="E32" s="24"/>
      <c r="F32" s="24"/>
      <c r="G32" s="24" t="s">
        <v>314</v>
      </c>
      <c r="H32" s="23" t="s">
        <v>14</v>
      </c>
      <c r="I32" s="24" t="s">
        <v>189</v>
      </c>
      <c r="J32" s="24"/>
      <c r="K32" s="24" t="s">
        <v>190</v>
      </c>
      <c r="L32" s="23" t="s">
        <v>88</v>
      </c>
      <c r="M32" s="23" t="s">
        <v>32</v>
      </c>
      <c r="N32" s="23">
        <v>2018</v>
      </c>
      <c r="O32" s="23" t="s">
        <v>49</v>
      </c>
      <c r="P32" s="23" t="s">
        <v>309</v>
      </c>
      <c r="Q32" s="24" t="s">
        <v>93</v>
      </c>
      <c r="R32" s="24" t="s">
        <v>44</v>
      </c>
      <c r="S32" s="16" t="s">
        <v>191</v>
      </c>
      <c r="T32" s="23">
        <v>12308280</v>
      </c>
      <c r="U32" s="21" t="s">
        <v>85</v>
      </c>
      <c r="V32" s="21" t="s">
        <v>13</v>
      </c>
      <c r="W32" s="28">
        <v>46097</v>
      </c>
      <c r="X32" s="25"/>
    </row>
    <row r="33" spans="1:24" ht="409.5" x14ac:dyDescent="0.25">
      <c r="A33" s="18" t="s">
        <v>287</v>
      </c>
      <c r="B33" s="23" t="s">
        <v>33</v>
      </c>
      <c r="C33" s="23" t="s">
        <v>9</v>
      </c>
      <c r="D33" s="24" t="s">
        <v>193</v>
      </c>
      <c r="E33" s="24" t="s">
        <v>194</v>
      </c>
      <c r="F33" s="24"/>
      <c r="G33" s="24"/>
      <c r="H33" s="23" t="s">
        <v>9</v>
      </c>
      <c r="I33" s="24" t="s">
        <v>84</v>
      </c>
      <c r="J33" s="24"/>
      <c r="K33" s="24" t="s">
        <v>86</v>
      </c>
      <c r="L33" s="23"/>
      <c r="M33" s="23" t="s">
        <v>32</v>
      </c>
      <c r="N33" s="23">
        <v>2021</v>
      </c>
      <c r="O33" s="23" t="s">
        <v>49</v>
      </c>
      <c r="P33" s="23" t="s">
        <v>309</v>
      </c>
      <c r="Q33" s="24" t="s">
        <v>93</v>
      </c>
      <c r="R33" s="24" t="s">
        <v>44</v>
      </c>
      <c r="S33" s="16" t="s">
        <v>192</v>
      </c>
      <c r="T33" s="23">
        <v>12308280</v>
      </c>
      <c r="U33" s="21" t="s">
        <v>85</v>
      </c>
      <c r="V33" s="21" t="s">
        <v>13</v>
      </c>
      <c r="W33" s="28">
        <v>46111</v>
      </c>
      <c r="X33" s="25"/>
    </row>
    <row r="34" spans="1:24" ht="409.5" x14ac:dyDescent="0.25">
      <c r="A34" s="18" t="s">
        <v>288</v>
      </c>
      <c r="B34" s="19" t="s">
        <v>14</v>
      </c>
      <c r="C34" s="19" t="s">
        <v>14</v>
      </c>
      <c r="D34" s="20" t="s">
        <v>196</v>
      </c>
      <c r="E34" s="20"/>
      <c r="F34" s="20" t="s">
        <v>149</v>
      </c>
      <c r="G34" s="24" t="s">
        <v>315</v>
      </c>
      <c r="H34" s="19" t="s">
        <v>14</v>
      </c>
      <c r="I34" s="20" t="s">
        <v>197</v>
      </c>
      <c r="J34" s="20"/>
      <c r="K34" s="20" t="s">
        <v>198</v>
      </c>
      <c r="L34" s="19" t="s">
        <v>88</v>
      </c>
      <c r="M34" s="19" t="s">
        <v>32</v>
      </c>
      <c r="N34" s="19">
        <v>2021</v>
      </c>
      <c r="O34" s="19" t="s">
        <v>49</v>
      </c>
      <c r="P34" s="19" t="s">
        <v>309</v>
      </c>
      <c r="Q34" s="20" t="s">
        <v>115</v>
      </c>
      <c r="R34" s="20" t="s">
        <v>44</v>
      </c>
      <c r="S34" s="15" t="s">
        <v>192</v>
      </c>
      <c r="T34" s="19">
        <v>12308280</v>
      </c>
      <c r="U34" s="21" t="s">
        <v>85</v>
      </c>
      <c r="V34" s="21" t="s">
        <v>13</v>
      </c>
      <c r="W34" s="27">
        <v>46111</v>
      </c>
      <c r="X34" s="22"/>
    </row>
    <row r="35" spans="1:24" ht="165" x14ac:dyDescent="0.25">
      <c r="A35" s="18" t="s">
        <v>289</v>
      </c>
      <c r="B35" s="19" t="s">
        <v>14</v>
      </c>
      <c r="C35" s="19" t="s">
        <v>14</v>
      </c>
      <c r="D35" s="20" t="s">
        <v>200</v>
      </c>
      <c r="E35" s="20"/>
      <c r="F35" s="20"/>
      <c r="G35" s="24"/>
      <c r="H35" s="19" t="s">
        <v>14</v>
      </c>
      <c r="I35" s="20" t="s">
        <v>201</v>
      </c>
      <c r="J35" s="20"/>
      <c r="K35" s="20" t="s">
        <v>195</v>
      </c>
      <c r="L35" s="19" t="s">
        <v>88</v>
      </c>
      <c r="M35" s="19" t="s">
        <v>32</v>
      </c>
      <c r="N35" s="19">
        <v>2020</v>
      </c>
      <c r="O35" s="19" t="s">
        <v>49</v>
      </c>
      <c r="P35" s="19" t="s">
        <v>309</v>
      </c>
      <c r="Q35" s="20" t="s">
        <v>93</v>
      </c>
      <c r="R35" s="20" t="s">
        <v>44</v>
      </c>
      <c r="S35" s="15" t="s">
        <v>199</v>
      </c>
      <c r="T35" s="19">
        <v>12308280</v>
      </c>
      <c r="U35" s="21" t="s">
        <v>85</v>
      </c>
      <c r="V35" s="21" t="s">
        <v>13</v>
      </c>
      <c r="W35" s="27">
        <v>46112</v>
      </c>
      <c r="X35" s="22"/>
    </row>
    <row r="36" spans="1:24" ht="90" x14ac:dyDescent="0.25">
      <c r="A36" s="18" t="s">
        <v>290</v>
      </c>
      <c r="B36" s="19" t="s">
        <v>33</v>
      </c>
      <c r="C36" s="19" t="s">
        <v>8</v>
      </c>
      <c r="D36" s="20" t="s">
        <v>202</v>
      </c>
      <c r="E36" s="20"/>
      <c r="F36" s="20"/>
      <c r="G36" s="24"/>
      <c r="H36" s="19" t="s">
        <v>8</v>
      </c>
      <c r="I36" s="20" t="s">
        <v>203</v>
      </c>
      <c r="J36" s="20"/>
      <c r="K36" s="20" t="s">
        <v>204</v>
      </c>
      <c r="L36" s="19"/>
      <c r="M36" s="19" t="s">
        <v>32</v>
      </c>
      <c r="N36" s="19">
        <v>2020</v>
      </c>
      <c r="O36" s="19" t="s">
        <v>49</v>
      </c>
      <c r="P36" s="19" t="s">
        <v>309</v>
      </c>
      <c r="Q36" s="20" t="s">
        <v>125</v>
      </c>
      <c r="R36" s="20" t="s">
        <v>44</v>
      </c>
      <c r="S36" s="15" t="s">
        <v>199</v>
      </c>
      <c r="T36" s="19">
        <v>12308280</v>
      </c>
      <c r="U36" s="21" t="s">
        <v>85</v>
      </c>
      <c r="V36" s="21" t="s">
        <v>13</v>
      </c>
      <c r="W36" s="27">
        <v>46112</v>
      </c>
      <c r="X36" s="22"/>
    </row>
    <row r="37" spans="1:24" ht="75" x14ac:dyDescent="0.25">
      <c r="A37" s="18" t="s">
        <v>291</v>
      </c>
      <c r="B37" s="23" t="s">
        <v>33</v>
      </c>
      <c r="C37" s="23" t="s">
        <v>8</v>
      </c>
      <c r="D37" s="24" t="s">
        <v>205</v>
      </c>
      <c r="E37" s="24"/>
      <c r="F37" s="24"/>
      <c r="G37" s="24"/>
      <c r="H37" s="23" t="s">
        <v>8</v>
      </c>
      <c r="I37" s="24" t="s">
        <v>206</v>
      </c>
      <c r="J37" s="24"/>
      <c r="K37" s="24" t="s">
        <v>207</v>
      </c>
      <c r="L37" s="23"/>
      <c r="M37" s="23" t="s">
        <v>32</v>
      </c>
      <c r="N37" s="23">
        <v>2020</v>
      </c>
      <c r="O37" s="23" t="s">
        <v>49</v>
      </c>
      <c r="P37" s="23" t="s">
        <v>309</v>
      </c>
      <c r="Q37" s="24" t="s">
        <v>208</v>
      </c>
      <c r="R37" s="24" t="s">
        <v>44</v>
      </c>
      <c r="S37" s="16" t="s">
        <v>199</v>
      </c>
      <c r="T37" s="23">
        <v>12308280</v>
      </c>
      <c r="U37" s="21" t="s">
        <v>85</v>
      </c>
      <c r="V37" s="21" t="s">
        <v>13</v>
      </c>
      <c r="W37" s="28">
        <v>46112</v>
      </c>
      <c r="X37" s="25"/>
    </row>
    <row r="38" spans="1:24" ht="285" x14ac:dyDescent="0.25">
      <c r="A38" s="18" t="s">
        <v>292</v>
      </c>
      <c r="B38" s="19" t="s">
        <v>11</v>
      </c>
      <c r="C38" s="19" t="s">
        <v>12</v>
      </c>
      <c r="D38" s="20" t="s">
        <v>209</v>
      </c>
      <c r="E38" s="20"/>
      <c r="F38" s="20"/>
      <c r="G38" s="24"/>
      <c r="H38" s="19" t="s">
        <v>12</v>
      </c>
      <c r="I38" s="20" t="s">
        <v>210</v>
      </c>
      <c r="J38" s="20"/>
      <c r="K38" s="20" t="s">
        <v>211</v>
      </c>
      <c r="L38" s="19" t="s">
        <v>88</v>
      </c>
      <c r="M38" s="19" t="s">
        <v>32</v>
      </c>
      <c r="N38" s="19">
        <v>2020</v>
      </c>
      <c r="O38" s="19" t="s">
        <v>49</v>
      </c>
      <c r="P38" s="19" t="s">
        <v>309</v>
      </c>
      <c r="Q38" s="20" t="s">
        <v>148</v>
      </c>
      <c r="R38" s="20" t="s">
        <v>44</v>
      </c>
      <c r="S38" s="15" t="s">
        <v>199</v>
      </c>
      <c r="T38" s="19">
        <v>12308280</v>
      </c>
      <c r="U38" s="21" t="s">
        <v>85</v>
      </c>
      <c r="V38" s="21" t="s">
        <v>13</v>
      </c>
      <c r="W38" s="27">
        <v>46112</v>
      </c>
      <c r="X38" s="22"/>
    </row>
    <row r="39" spans="1:24" ht="135" x14ac:dyDescent="0.25">
      <c r="A39" s="18" t="s">
        <v>293</v>
      </c>
      <c r="B39" s="23" t="s">
        <v>33</v>
      </c>
      <c r="C39" s="23" t="s">
        <v>9</v>
      </c>
      <c r="D39" s="24" t="s">
        <v>212</v>
      </c>
      <c r="E39" s="24" t="s">
        <v>213</v>
      </c>
      <c r="F39" s="24"/>
      <c r="G39" s="24"/>
      <c r="H39" s="23" t="s">
        <v>9</v>
      </c>
      <c r="I39" s="24" t="s">
        <v>214</v>
      </c>
      <c r="J39" s="24"/>
      <c r="K39" s="24" t="s">
        <v>215</v>
      </c>
      <c r="L39" s="23"/>
      <c r="M39" s="23" t="s">
        <v>32</v>
      </c>
      <c r="N39" s="23">
        <v>2020</v>
      </c>
      <c r="O39" s="23" t="s">
        <v>49</v>
      </c>
      <c r="P39" s="23" t="s">
        <v>309</v>
      </c>
      <c r="Q39" s="24" t="s">
        <v>216</v>
      </c>
      <c r="R39" s="24" t="s">
        <v>44</v>
      </c>
      <c r="S39" s="16" t="s">
        <v>199</v>
      </c>
      <c r="T39" s="23">
        <v>12308280</v>
      </c>
      <c r="U39" s="21" t="s">
        <v>85</v>
      </c>
      <c r="V39" s="21" t="s">
        <v>13</v>
      </c>
      <c r="W39" s="28">
        <v>46112</v>
      </c>
      <c r="X39" s="25"/>
    </row>
    <row r="40" spans="1:24" ht="165" x14ac:dyDescent="0.25">
      <c r="A40" s="18" t="s">
        <v>294</v>
      </c>
      <c r="B40" s="19" t="s">
        <v>33</v>
      </c>
      <c r="C40" s="19" t="s">
        <v>8</v>
      </c>
      <c r="D40" s="20" t="s">
        <v>217</v>
      </c>
      <c r="E40" s="20"/>
      <c r="F40" s="20"/>
      <c r="G40" s="24"/>
      <c r="H40" s="19" t="s">
        <v>8</v>
      </c>
      <c r="I40" s="20" t="s">
        <v>218</v>
      </c>
      <c r="J40" s="20"/>
      <c r="K40" s="20" t="s">
        <v>219</v>
      </c>
      <c r="L40" s="19"/>
      <c r="M40" s="19" t="s">
        <v>32</v>
      </c>
      <c r="N40" s="19">
        <v>2020</v>
      </c>
      <c r="O40" s="19" t="s">
        <v>49</v>
      </c>
      <c r="P40" s="19" t="s">
        <v>309</v>
      </c>
      <c r="Q40" s="20" t="s">
        <v>208</v>
      </c>
      <c r="R40" s="20" t="s">
        <v>44</v>
      </c>
      <c r="S40" s="15" t="s">
        <v>199</v>
      </c>
      <c r="T40" s="19">
        <v>12308280</v>
      </c>
      <c r="U40" s="21" t="s">
        <v>85</v>
      </c>
      <c r="V40" s="21" t="s">
        <v>13</v>
      </c>
      <c r="W40" s="27">
        <v>46112</v>
      </c>
      <c r="X40" s="22"/>
    </row>
    <row r="41" spans="1:24" ht="240" x14ac:dyDescent="0.25">
      <c r="A41" s="18" t="s">
        <v>295</v>
      </c>
      <c r="B41" s="23" t="s">
        <v>33</v>
      </c>
      <c r="C41" s="23" t="s">
        <v>8</v>
      </c>
      <c r="D41" s="24" t="s">
        <v>220</v>
      </c>
      <c r="E41" s="24"/>
      <c r="F41" s="24"/>
      <c r="G41" s="24"/>
      <c r="H41" s="23" t="s">
        <v>8</v>
      </c>
      <c r="I41" s="24" t="s">
        <v>221</v>
      </c>
      <c r="J41" s="24"/>
      <c r="K41" s="24" t="s">
        <v>222</v>
      </c>
      <c r="L41" s="23" t="s">
        <v>88</v>
      </c>
      <c r="M41" s="23" t="s">
        <v>32</v>
      </c>
      <c r="N41" s="23">
        <v>2020</v>
      </c>
      <c r="O41" s="23" t="s">
        <v>49</v>
      </c>
      <c r="P41" s="23" t="s">
        <v>309</v>
      </c>
      <c r="Q41" s="24" t="s">
        <v>223</v>
      </c>
      <c r="R41" s="24" t="s">
        <v>44</v>
      </c>
      <c r="S41" s="16" t="s">
        <v>199</v>
      </c>
      <c r="T41" s="23">
        <v>12308280</v>
      </c>
      <c r="U41" s="21" t="s">
        <v>85</v>
      </c>
      <c r="V41" s="21" t="s">
        <v>13</v>
      </c>
      <c r="W41" s="28">
        <v>46112</v>
      </c>
      <c r="X41" s="25"/>
    </row>
    <row r="42" spans="1:24" ht="345" x14ac:dyDescent="0.25">
      <c r="A42" s="18" t="s">
        <v>296</v>
      </c>
      <c r="B42" s="19" t="s">
        <v>11</v>
      </c>
      <c r="C42" s="19" t="s">
        <v>12</v>
      </c>
      <c r="D42" s="20" t="s">
        <v>224</v>
      </c>
      <c r="E42" s="20"/>
      <c r="F42" s="20"/>
      <c r="G42" s="24"/>
      <c r="H42" s="19" t="s">
        <v>12</v>
      </c>
      <c r="I42" s="20" t="s">
        <v>225</v>
      </c>
      <c r="J42" s="20"/>
      <c r="K42" s="20" t="s">
        <v>226</v>
      </c>
      <c r="L42" s="19" t="s">
        <v>88</v>
      </c>
      <c r="M42" s="19" t="s">
        <v>32</v>
      </c>
      <c r="N42" s="19">
        <v>2020</v>
      </c>
      <c r="O42" s="19" t="s">
        <v>49</v>
      </c>
      <c r="P42" s="19" t="s">
        <v>309</v>
      </c>
      <c r="Q42" s="20" t="s">
        <v>227</v>
      </c>
      <c r="R42" s="20" t="s">
        <v>44</v>
      </c>
      <c r="S42" s="15" t="s">
        <v>199</v>
      </c>
      <c r="T42" s="19">
        <v>12308280</v>
      </c>
      <c r="U42" s="21" t="s">
        <v>85</v>
      </c>
      <c r="V42" s="21" t="s">
        <v>13</v>
      </c>
      <c r="W42" s="27">
        <v>46112</v>
      </c>
      <c r="X42" s="22"/>
    </row>
    <row r="43" spans="1:24" ht="300" x14ac:dyDescent="0.25">
      <c r="A43" s="18" t="s">
        <v>297</v>
      </c>
      <c r="B43" s="23" t="s">
        <v>33</v>
      </c>
      <c r="C43" s="23" t="s">
        <v>8</v>
      </c>
      <c r="D43" s="24" t="s">
        <v>228</v>
      </c>
      <c r="E43" s="24"/>
      <c r="F43" s="24"/>
      <c r="G43" s="24"/>
      <c r="H43" s="23" t="s">
        <v>8</v>
      </c>
      <c r="I43" s="24" t="s">
        <v>229</v>
      </c>
      <c r="J43" s="24"/>
      <c r="K43" s="24" t="s">
        <v>230</v>
      </c>
      <c r="L43" s="23"/>
      <c r="M43" s="23" t="s">
        <v>32</v>
      </c>
      <c r="N43" s="23">
        <v>2020</v>
      </c>
      <c r="O43" s="23" t="s">
        <v>49</v>
      </c>
      <c r="P43" s="23" t="s">
        <v>309</v>
      </c>
      <c r="Q43" s="24" t="s">
        <v>141</v>
      </c>
      <c r="R43" s="24" t="s">
        <v>44</v>
      </c>
      <c r="S43" s="16" t="s">
        <v>199</v>
      </c>
      <c r="T43" s="23">
        <v>12308280</v>
      </c>
      <c r="U43" s="21" t="s">
        <v>85</v>
      </c>
      <c r="V43" s="21" t="s">
        <v>13</v>
      </c>
      <c r="W43" s="28">
        <v>46112</v>
      </c>
      <c r="X43" s="25"/>
    </row>
    <row r="44" spans="1:24" ht="270" x14ac:dyDescent="0.25">
      <c r="A44" s="18" t="s">
        <v>298</v>
      </c>
      <c r="B44" s="19" t="s">
        <v>33</v>
      </c>
      <c r="C44" s="19" t="s">
        <v>8</v>
      </c>
      <c r="D44" s="20" t="s">
        <v>231</v>
      </c>
      <c r="E44" s="20"/>
      <c r="F44" s="20"/>
      <c r="G44" s="24"/>
      <c r="H44" s="19" t="s">
        <v>8</v>
      </c>
      <c r="I44" s="20" t="s">
        <v>232</v>
      </c>
      <c r="J44" s="20"/>
      <c r="K44" s="20" t="s">
        <v>233</v>
      </c>
      <c r="L44" s="19"/>
      <c r="M44" s="19" t="s">
        <v>32</v>
      </c>
      <c r="N44" s="19">
        <v>2020</v>
      </c>
      <c r="O44" s="19" t="s">
        <v>49</v>
      </c>
      <c r="P44" s="19" t="s">
        <v>309</v>
      </c>
      <c r="Q44" s="20" t="s">
        <v>125</v>
      </c>
      <c r="R44" s="20" t="s">
        <v>44</v>
      </c>
      <c r="S44" s="15" t="s">
        <v>199</v>
      </c>
      <c r="T44" s="19">
        <v>12308280</v>
      </c>
      <c r="U44" s="21" t="s">
        <v>85</v>
      </c>
      <c r="V44" s="21" t="s">
        <v>13</v>
      </c>
      <c r="W44" s="27">
        <v>46112</v>
      </c>
      <c r="X44" s="22"/>
    </row>
    <row r="45" spans="1:24" ht="315" x14ac:dyDescent="0.25">
      <c r="A45" s="18" t="s">
        <v>299</v>
      </c>
      <c r="B45" s="23" t="s">
        <v>33</v>
      </c>
      <c r="C45" s="23" t="s">
        <v>8</v>
      </c>
      <c r="D45" s="24" t="s">
        <v>234</v>
      </c>
      <c r="E45" s="24"/>
      <c r="F45" s="24"/>
      <c r="G45" s="24"/>
      <c r="H45" s="23" t="s">
        <v>8</v>
      </c>
      <c r="I45" s="24" t="s">
        <v>235</v>
      </c>
      <c r="J45" s="24"/>
      <c r="K45" s="24" t="s">
        <v>236</v>
      </c>
      <c r="L45" s="23"/>
      <c r="M45" s="23" t="s">
        <v>32</v>
      </c>
      <c r="N45" s="23">
        <v>2020</v>
      </c>
      <c r="O45" s="23" t="s">
        <v>49</v>
      </c>
      <c r="P45" s="23" t="s">
        <v>309</v>
      </c>
      <c r="Q45" s="24" t="s">
        <v>237</v>
      </c>
      <c r="R45" s="24" t="s">
        <v>44</v>
      </c>
      <c r="S45" s="16" t="s">
        <v>199</v>
      </c>
      <c r="T45" s="23">
        <v>12308280</v>
      </c>
      <c r="U45" s="21" t="s">
        <v>85</v>
      </c>
      <c r="V45" s="21" t="s">
        <v>13</v>
      </c>
      <c r="W45" s="28">
        <v>46112</v>
      </c>
      <c r="X45" s="25"/>
    </row>
    <row r="46" spans="1:24" ht="210" x14ac:dyDescent="0.25">
      <c r="A46" s="18" t="s">
        <v>300</v>
      </c>
      <c r="B46" s="23" t="s">
        <v>11</v>
      </c>
      <c r="C46" s="23" t="s">
        <v>12</v>
      </c>
      <c r="D46" s="24" t="s">
        <v>238</v>
      </c>
      <c r="E46" s="24"/>
      <c r="F46" s="24"/>
      <c r="G46" s="24"/>
      <c r="H46" s="23" t="s">
        <v>12</v>
      </c>
      <c r="I46" s="24" t="s">
        <v>239</v>
      </c>
      <c r="J46" s="24"/>
      <c r="K46" s="24" t="s">
        <v>240</v>
      </c>
      <c r="L46" s="23" t="s">
        <v>88</v>
      </c>
      <c r="M46" s="23" t="s">
        <v>32</v>
      </c>
      <c r="N46" s="23">
        <v>2020</v>
      </c>
      <c r="O46" s="23" t="s">
        <v>49</v>
      </c>
      <c r="P46" s="23" t="s">
        <v>309</v>
      </c>
      <c r="Q46" s="24" t="s">
        <v>136</v>
      </c>
      <c r="R46" s="24" t="s">
        <v>44</v>
      </c>
      <c r="S46" s="16" t="s">
        <v>199</v>
      </c>
      <c r="T46" s="23">
        <v>12308280</v>
      </c>
      <c r="U46" s="21" t="s">
        <v>85</v>
      </c>
      <c r="V46" s="21" t="s">
        <v>13</v>
      </c>
      <c r="W46" s="28">
        <v>46112</v>
      </c>
      <c r="X46" s="25"/>
    </row>
    <row r="47" spans="1:24" ht="285" x14ac:dyDescent="0.25">
      <c r="A47" s="18" t="s">
        <v>301</v>
      </c>
      <c r="B47" s="19" t="s">
        <v>33</v>
      </c>
      <c r="C47" s="19" t="s">
        <v>8</v>
      </c>
      <c r="D47" s="20" t="s">
        <v>241</v>
      </c>
      <c r="E47" s="20"/>
      <c r="F47" s="20"/>
      <c r="G47" s="24"/>
      <c r="H47" s="19" t="s">
        <v>8</v>
      </c>
      <c r="I47" s="20" t="s">
        <v>242</v>
      </c>
      <c r="J47" s="20"/>
      <c r="K47" s="20" t="s">
        <v>243</v>
      </c>
      <c r="L47" s="19"/>
      <c r="M47" s="19" t="s">
        <v>32</v>
      </c>
      <c r="N47" s="19">
        <v>2020</v>
      </c>
      <c r="O47" s="19" t="s">
        <v>49</v>
      </c>
      <c r="P47" s="19" t="s">
        <v>309</v>
      </c>
      <c r="Q47" s="20" t="s">
        <v>141</v>
      </c>
      <c r="R47" s="20" t="s">
        <v>44</v>
      </c>
      <c r="S47" s="15" t="s">
        <v>199</v>
      </c>
      <c r="T47" s="19">
        <v>12308280</v>
      </c>
      <c r="U47" s="21" t="s">
        <v>85</v>
      </c>
      <c r="V47" s="21" t="s">
        <v>13</v>
      </c>
      <c r="W47" s="27">
        <v>46112</v>
      </c>
      <c r="X47" s="22"/>
    </row>
    <row r="48" spans="1:24" ht="409.5" x14ac:dyDescent="0.25">
      <c r="A48" s="18" t="s">
        <v>302</v>
      </c>
      <c r="B48" s="23" t="s">
        <v>33</v>
      </c>
      <c r="C48" s="23" t="s">
        <v>9</v>
      </c>
      <c r="D48" s="24" t="s">
        <v>244</v>
      </c>
      <c r="E48" s="24" t="s">
        <v>245</v>
      </c>
      <c r="F48" s="24"/>
      <c r="G48" s="24"/>
      <c r="H48" s="23" t="s">
        <v>9</v>
      </c>
      <c r="I48" s="24" t="s">
        <v>246</v>
      </c>
      <c r="J48" s="24"/>
      <c r="K48" s="24" t="s">
        <v>247</v>
      </c>
      <c r="L48" s="23"/>
      <c r="M48" s="23" t="s">
        <v>32</v>
      </c>
      <c r="N48" s="23">
        <v>2020</v>
      </c>
      <c r="O48" s="23" t="s">
        <v>49</v>
      </c>
      <c r="P48" s="23" t="s">
        <v>309</v>
      </c>
      <c r="Q48" s="24" t="s">
        <v>94</v>
      </c>
      <c r="R48" s="24" t="s">
        <v>44</v>
      </c>
      <c r="S48" s="16" t="s">
        <v>199</v>
      </c>
      <c r="T48" s="23">
        <v>12308280</v>
      </c>
      <c r="U48" s="21" t="s">
        <v>85</v>
      </c>
      <c r="V48" s="21" t="s">
        <v>13</v>
      </c>
      <c r="W48" s="28">
        <v>46112</v>
      </c>
      <c r="X48" s="25"/>
    </row>
    <row r="49" spans="1:24" ht="409.5" x14ac:dyDescent="0.25">
      <c r="A49" s="18" t="s">
        <v>303</v>
      </c>
      <c r="B49" s="19" t="s">
        <v>11</v>
      </c>
      <c r="C49" s="19" t="s">
        <v>12</v>
      </c>
      <c r="D49" s="20" t="s">
        <v>248</v>
      </c>
      <c r="E49" s="20"/>
      <c r="F49" s="20"/>
      <c r="G49" s="24"/>
      <c r="H49" s="19" t="s">
        <v>12</v>
      </c>
      <c r="I49" s="20" t="s">
        <v>249</v>
      </c>
      <c r="J49" s="20"/>
      <c r="K49" s="20" t="s">
        <v>250</v>
      </c>
      <c r="L49" s="19" t="s">
        <v>88</v>
      </c>
      <c r="M49" s="19" t="s">
        <v>32</v>
      </c>
      <c r="N49" s="19">
        <v>2020</v>
      </c>
      <c r="O49" s="19" t="s">
        <v>49</v>
      </c>
      <c r="P49" s="19" t="s">
        <v>309</v>
      </c>
      <c r="Q49" s="20" t="s">
        <v>251</v>
      </c>
      <c r="R49" s="20" t="s">
        <v>44</v>
      </c>
      <c r="S49" s="15" t="s">
        <v>252</v>
      </c>
      <c r="T49" s="19">
        <v>12308280</v>
      </c>
      <c r="U49" s="21" t="s">
        <v>85</v>
      </c>
      <c r="V49" s="21" t="s">
        <v>13</v>
      </c>
      <c r="W49" s="27">
        <v>46112</v>
      </c>
      <c r="X49" s="22"/>
    </row>
    <row r="50" spans="1:24" ht="150" x14ac:dyDescent="0.25">
      <c r="A50" s="18" t="s">
        <v>304</v>
      </c>
      <c r="B50" s="19" t="s">
        <v>33</v>
      </c>
      <c r="C50" s="19" t="s">
        <v>8</v>
      </c>
      <c r="D50" s="20" t="s">
        <v>253</v>
      </c>
      <c r="E50" s="20"/>
      <c r="F50" s="20"/>
      <c r="G50" s="24"/>
      <c r="H50" s="19" t="s">
        <v>8</v>
      </c>
      <c r="I50" s="20" t="s">
        <v>254</v>
      </c>
      <c r="J50" s="20"/>
      <c r="K50" s="20" t="s">
        <v>255</v>
      </c>
      <c r="L50" s="19"/>
      <c r="M50" s="19" t="s">
        <v>32</v>
      </c>
      <c r="N50" s="19">
        <v>2020</v>
      </c>
      <c r="O50" s="19" t="s">
        <v>49</v>
      </c>
      <c r="P50" s="19" t="s">
        <v>309</v>
      </c>
      <c r="Q50" s="20" t="s">
        <v>208</v>
      </c>
      <c r="R50" s="20" t="s">
        <v>44</v>
      </c>
      <c r="S50" s="15" t="s">
        <v>252</v>
      </c>
      <c r="T50" s="19">
        <v>12308280</v>
      </c>
      <c r="U50" s="21" t="s">
        <v>85</v>
      </c>
      <c r="V50" s="21" t="s">
        <v>13</v>
      </c>
      <c r="W50" s="27">
        <v>46112</v>
      </c>
      <c r="X50" s="22"/>
    </row>
    <row r="51" spans="1:24" ht="255" x14ac:dyDescent="0.25">
      <c r="A51" s="29" t="s">
        <v>307</v>
      </c>
      <c r="B51" s="19" t="s">
        <v>33</v>
      </c>
      <c r="C51" s="19" t="s">
        <v>9</v>
      </c>
      <c r="D51" s="20" t="s">
        <v>89</v>
      </c>
      <c r="E51" s="20" t="s">
        <v>90</v>
      </c>
      <c r="F51" s="20"/>
      <c r="G51" s="26"/>
      <c r="H51" s="19" t="s">
        <v>9</v>
      </c>
      <c r="I51" s="20" t="s">
        <v>91</v>
      </c>
      <c r="J51" s="20"/>
      <c r="K51" s="20" t="s">
        <v>92</v>
      </c>
      <c r="L51" s="19"/>
      <c r="M51" s="19" t="s">
        <v>32</v>
      </c>
      <c r="N51" s="19">
        <v>2016</v>
      </c>
      <c r="O51" s="19" t="s">
        <v>49</v>
      </c>
      <c r="P51" s="19" t="s">
        <v>309</v>
      </c>
      <c r="Q51" s="20" t="s">
        <v>94</v>
      </c>
      <c r="R51" s="20" t="s">
        <v>44</v>
      </c>
      <c r="S51" s="15" t="s">
        <v>95</v>
      </c>
      <c r="T51" s="19">
        <v>12308280</v>
      </c>
      <c r="U51" s="21" t="s">
        <v>85</v>
      </c>
      <c r="V51" s="21" t="s">
        <v>13</v>
      </c>
      <c r="W51" s="27">
        <v>46086</v>
      </c>
      <c r="X51" s="22" t="s">
        <v>308</v>
      </c>
    </row>
  </sheetData>
  <autoFilter ref="A1:X51" xr:uid="{2490162D-9C12-497E-ACF3-0A800296FC58}"/>
  <dataValidations count="2">
    <dataValidation type="whole" allowBlank="1" showInputMessage="1" showErrorMessage="1" sqref="T2:T51" xr:uid="{5661606D-E0BE-4D44-ABB1-5594C4FD618C}">
      <formula1>1</formula1>
      <formula2>99999999</formula2>
    </dataValidation>
    <dataValidation type="date" allowBlank="1" showInputMessage="1" showErrorMessage="1" sqref="W2:W51" xr:uid="{88A4CE1A-CA72-447F-B035-3A62587020B5}">
      <formula1>29221</formula1>
      <formula2>55153</formula2>
    </dataValidation>
  </dataValidations>
  <hyperlinks>
    <hyperlink ref="G30" r:id="rId1" display="https://huggingface.co/datasets/WURevision/AccountingBench/resolve/main/students/Chodasz/12308280_0060.pdf" xr:uid="{05E42E9F-69D2-4F79-981F-51AE780E3813}"/>
  </hyperlinks>
  <pageMargins left="0.7" right="0.7" top="0.75" bottom="0.75" header="0.3" footer="0.3"/>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535DACA-4A88-4529-BF97-F313F3399E7B}">
          <x14:formula1>
            <xm:f>'Tabelle 1'!$G$2:$G$6</xm:f>
          </x14:formula1>
          <xm:sqref>R2:R51</xm:sqref>
        </x14:dataValidation>
        <x14:dataValidation type="list" allowBlank="1" showInputMessage="1" showErrorMessage="1" xr:uid="{C2A48503-150C-480F-B9B4-B16DBC553442}">
          <x14:formula1>
            <xm:f>'Tabelle 1'!$E$2:$E$5</xm:f>
          </x14:formula1>
          <xm:sqref>O2:O51</xm:sqref>
        </x14:dataValidation>
        <x14:dataValidation type="list" allowBlank="1" showInputMessage="1" showErrorMessage="1" xr:uid="{AEBD6845-7464-4FBB-851E-C8D5FC30C3BC}">
          <x14:formula1>
            <xm:f>'Tabelle 1'!$D$2:$D$7</xm:f>
          </x14:formula1>
          <xm:sqref>M2:M51</xm:sqref>
        </x14:dataValidation>
        <x14:dataValidation type="list" allowBlank="1" showInputMessage="1" showErrorMessage="1" xr:uid="{BB2DB096-97A1-4A86-A780-ED9CBE97BDF4}">
          <x14:formula1>
            <xm:f>'Tabelle 1'!$C$2:$C$6</xm:f>
          </x14:formula1>
          <xm:sqref>H2:H51</xm:sqref>
        </x14:dataValidation>
        <x14:dataValidation type="list" showInputMessage="1" showErrorMessage="1" xr:uid="{E8E9426A-6E18-424B-AAD5-A3BDE800DF9E}">
          <x14:formula1>
            <xm:f>'Tabelle 1'!$A$2:$A$6</xm:f>
          </x14:formula1>
          <xm:sqref>B2:B51</xm:sqref>
        </x14:dataValidation>
        <x14:dataValidation type="list" allowBlank="1" showInputMessage="1" showErrorMessage="1" xr:uid="{0ED9519A-810D-42F0-B3D8-AE0DF99571E3}">
          <x14:formula1>
            <xm:f>'Tabelle 1'!$B$2:$B$6</xm:f>
          </x14:formula1>
          <xm:sqref>C2:C51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2026-06-11T11:58:29Z</dcterms:created>
  <dcterms:modified xsi:type="dcterms:W3CDTF">2026-06-29T11:27:05Z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